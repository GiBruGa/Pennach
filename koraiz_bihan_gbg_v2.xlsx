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ennach\"/>
    </mc:Choice>
  </mc:AlternateContent>
  <xr:revisionPtr revIDLastSave="0" documentId="13_ncr:1_{CE18F4E2-FFB3-471F-865F-CCA3BA868C93}" xr6:coauthVersionLast="47" xr6:coauthVersionMax="47" xr10:uidLastSave="{00000000-0000-0000-0000-000000000000}"/>
  <bookViews>
    <workbookView xWindow="25695" yWindow="0" windowWidth="26010" windowHeight="20985" xr2:uid="{B9A9D7D6-9DE5-4A26-AD26-05425DFCC675}"/>
  </bookViews>
  <sheets>
    <sheet name="koraiz_bihan_gbg_45min_v2" sheetId="1" r:id="rId1"/>
    <sheet name="ex 1" sheetId="2" r:id="rId2"/>
    <sheet name="ex 2" sheetId="3" r:id="rId3"/>
    <sheet name="ex 3" sheetId="4" r:id="rId4"/>
    <sheet name="ex 4" sheetId="5" r:id="rId5"/>
    <sheet name="ex 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6" l="1"/>
  <c r="I29" i="6"/>
  <c r="H26" i="6"/>
  <c r="E25" i="6"/>
  <c r="H24" i="6"/>
  <c r="G24" i="6"/>
  <c r="G25" i="6" s="1"/>
  <c r="E26" i="6" s="1"/>
  <c r="H22" i="6"/>
  <c r="G22" i="6"/>
  <c r="G23" i="6" s="1"/>
  <c r="E24" i="6" s="1"/>
  <c r="E21" i="6"/>
  <c r="G19" i="6"/>
  <c r="G20" i="6" s="1"/>
  <c r="G21" i="6" s="1"/>
  <c r="E22" i="6" s="1"/>
  <c r="E19" i="6"/>
  <c r="G18" i="6"/>
  <c r="B14" i="6"/>
  <c r="E13" i="6"/>
  <c r="B13" i="6"/>
  <c r="F29" i="6" s="1"/>
  <c r="J29" i="6" s="1"/>
  <c r="B11" i="6"/>
  <c r="B10" i="6"/>
  <c r="I104" i="6" s="1"/>
  <c r="B8" i="6"/>
  <c r="L29" i="6" s="1"/>
  <c r="B7" i="6"/>
  <c r="H103" i="6" s="1"/>
  <c r="C5" i="6"/>
  <c r="B3" i="6"/>
  <c r="C3" i="6" s="1"/>
  <c r="D1" i="6"/>
  <c r="B2" i="6" s="1"/>
  <c r="L29" i="5"/>
  <c r="I29" i="5"/>
  <c r="G20" i="5"/>
  <c r="G19" i="5"/>
  <c r="E20" i="5" s="1"/>
  <c r="E19" i="5"/>
  <c r="G18" i="5"/>
  <c r="B14" i="5"/>
  <c r="B13" i="5" s="1"/>
  <c r="F29" i="5" s="1"/>
  <c r="J29" i="5" s="1"/>
  <c r="E13" i="5"/>
  <c r="B11" i="5"/>
  <c r="M29" i="5" s="1"/>
  <c r="B10" i="5"/>
  <c r="I26" i="5" s="1"/>
  <c r="B8" i="5"/>
  <c r="B7" i="5"/>
  <c r="H103" i="5" s="1"/>
  <c r="C5" i="5"/>
  <c r="B3" i="5"/>
  <c r="C3" i="5" s="1"/>
  <c r="D1" i="5"/>
  <c r="B2" i="5" s="1"/>
  <c r="I29" i="4"/>
  <c r="I24" i="4"/>
  <c r="G18" i="4"/>
  <c r="G19" i="4" s="1"/>
  <c r="B14" i="4"/>
  <c r="B13" i="4" s="1"/>
  <c r="F29" i="4" s="1"/>
  <c r="J29" i="4" s="1"/>
  <c r="E13" i="4"/>
  <c r="B11" i="4"/>
  <c r="M29" i="4" s="1"/>
  <c r="B10" i="4"/>
  <c r="I25" i="4" s="1"/>
  <c r="B8" i="4"/>
  <c r="L29" i="4" s="1"/>
  <c r="B7" i="4"/>
  <c r="H104" i="4" s="1"/>
  <c r="C5" i="4"/>
  <c r="B3" i="4"/>
  <c r="C3" i="4" s="1"/>
  <c r="D1" i="4"/>
  <c r="H104" i="3"/>
  <c r="H103" i="3"/>
  <c r="L29" i="3"/>
  <c r="I29" i="3"/>
  <c r="I25" i="3"/>
  <c r="H25" i="3"/>
  <c r="I21" i="3"/>
  <c r="G19" i="3"/>
  <c r="E19" i="3"/>
  <c r="G18" i="3"/>
  <c r="B14" i="3"/>
  <c r="B13" i="3" s="1"/>
  <c r="F29" i="3" s="1"/>
  <c r="J29" i="3" s="1"/>
  <c r="E13" i="3"/>
  <c r="B11" i="3"/>
  <c r="M29" i="3" s="1"/>
  <c r="B10" i="3"/>
  <c r="B8" i="3"/>
  <c r="B7" i="3"/>
  <c r="C5" i="3"/>
  <c r="B3" i="3"/>
  <c r="C3" i="3" s="1"/>
  <c r="D1" i="3"/>
  <c r="I29" i="2"/>
  <c r="I26" i="2"/>
  <c r="I22" i="2"/>
  <c r="G19" i="2"/>
  <c r="E19" i="2"/>
  <c r="G18" i="2"/>
  <c r="B14" i="2"/>
  <c r="B13" i="2" s="1"/>
  <c r="F29" i="2" s="1"/>
  <c r="J29" i="2" s="1"/>
  <c r="E13" i="2"/>
  <c r="B11" i="2"/>
  <c r="M29" i="2" s="1"/>
  <c r="B10" i="2"/>
  <c r="B8" i="2"/>
  <c r="L29" i="2" s="1"/>
  <c r="B7" i="2"/>
  <c r="C5" i="2"/>
  <c r="B3" i="2"/>
  <c r="C3" i="2" s="1"/>
  <c r="D1" i="2"/>
  <c r="B2" i="2" s="1"/>
  <c r="L94" i="1"/>
  <c r="M94" i="1"/>
  <c r="L95" i="1"/>
  <c r="M95" i="1"/>
  <c r="L96" i="1"/>
  <c r="M96" i="1"/>
  <c r="I29" i="1"/>
  <c r="E13" i="1"/>
  <c r="B14" i="1"/>
  <c r="B13" i="1" s="1"/>
  <c r="C5" i="1"/>
  <c r="D1" i="1"/>
  <c r="B2" i="1" s="1"/>
  <c r="G18" i="1"/>
  <c r="E19" i="1" s="1"/>
  <c r="B11" i="1"/>
  <c r="M55" i="1" s="1"/>
  <c r="B10" i="1"/>
  <c r="M34" i="1" s="1"/>
  <c r="B7" i="1"/>
  <c r="H19" i="1" s="1"/>
  <c r="B8" i="1"/>
  <c r="L33" i="1" s="1"/>
  <c r="B3" i="1"/>
  <c r="C3" i="1" s="1"/>
  <c r="I19" i="6" l="1"/>
  <c r="I25" i="6"/>
  <c r="I21" i="6"/>
  <c r="I23" i="6"/>
  <c r="I99" i="6"/>
  <c r="I103" i="6"/>
  <c r="I101" i="6"/>
  <c r="I103" i="5"/>
  <c r="I99" i="5"/>
  <c r="I19" i="5"/>
  <c r="I101" i="5"/>
  <c r="I24" i="5"/>
  <c r="I22" i="5"/>
  <c r="H19" i="4"/>
  <c r="E23" i="6"/>
  <c r="G26" i="6"/>
  <c r="E20" i="6"/>
  <c r="B4" i="6"/>
  <c r="C4" i="6" s="1"/>
  <c r="I22" i="6"/>
  <c r="I24" i="6"/>
  <c r="I26" i="6"/>
  <c r="H100" i="6"/>
  <c r="H102" i="6"/>
  <c r="H104" i="6"/>
  <c r="I100" i="6"/>
  <c r="I102" i="6"/>
  <c r="H21" i="6"/>
  <c r="H23" i="6"/>
  <c r="H25" i="6"/>
  <c r="H19" i="6"/>
  <c r="H99" i="6"/>
  <c r="H101" i="6"/>
  <c r="B4" i="5"/>
  <c r="C4" i="5" s="1"/>
  <c r="I25" i="5"/>
  <c r="G21" i="5"/>
  <c r="E21" i="5"/>
  <c r="H22" i="5"/>
  <c r="H24" i="5"/>
  <c r="H26" i="5"/>
  <c r="H100" i="5"/>
  <c r="H102" i="5"/>
  <c r="H104" i="5"/>
  <c r="I100" i="5"/>
  <c r="I102" i="5"/>
  <c r="I104" i="5"/>
  <c r="I21" i="5"/>
  <c r="I23" i="5"/>
  <c r="H21" i="5"/>
  <c r="H23" i="5"/>
  <c r="H25" i="5"/>
  <c r="H19" i="5"/>
  <c r="H99" i="5"/>
  <c r="H101" i="5"/>
  <c r="E20" i="4"/>
  <c r="G20" i="4"/>
  <c r="I22" i="4"/>
  <c r="H25" i="4"/>
  <c r="H102" i="4"/>
  <c r="H23" i="4"/>
  <c r="I104" i="4"/>
  <c r="I102" i="4"/>
  <c r="I100" i="4"/>
  <c r="I103" i="4"/>
  <c r="I101" i="4"/>
  <c r="I99" i="4"/>
  <c r="H21" i="4"/>
  <c r="H100" i="4"/>
  <c r="B4" i="4"/>
  <c r="C4" i="4" s="1"/>
  <c r="I23" i="4"/>
  <c r="E19" i="4"/>
  <c r="I21" i="4"/>
  <c r="I19" i="4"/>
  <c r="B2" i="4"/>
  <c r="H103" i="4"/>
  <c r="H101" i="4"/>
  <c r="H99" i="4"/>
  <c r="H26" i="4"/>
  <c r="H24" i="4"/>
  <c r="H22" i="4"/>
  <c r="I26" i="4"/>
  <c r="H26" i="3"/>
  <c r="H24" i="3"/>
  <c r="H22" i="3"/>
  <c r="G20" i="3"/>
  <c r="E20" i="3"/>
  <c r="H19" i="3"/>
  <c r="H23" i="3"/>
  <c r="H99" i="3"/>
  <c r="I104" i="3"/>
  <c r="I102" i="3"/>
  <c r="I100" i="3"/>
  <c r="I26" i="3"/>
  <c r="I24" i="3"/>
  <c r="I22" i="3"/>
  <c r="I101" i="3"/>
  <c r="I103" i="3"/>
  <c r="I99" i="3"/>
  <c r="I23" i="3"/>
  <c r="H100" i="3"/>
  <c r="H101" i="3"/>
  <c r="B4" i="3"/>
  <c r="C4" i="3" s="1"/>
  <c r="I19" i="3"/>
  <c r="B2" i="3"/>
  <c r="H21" i="3"/>
  <c r="H102" i="3"/>
  <c r="H104" i="2"/>
  <c r="H102" i="2"/>
  <c r="H100" i="2"/>
  <c r="H26" i="2"/>
  <c r="H24" i="2"/>
  <c r="H22" i="2"/>
  <c r="H21" i="2"/>
  <c r="H103" i="2"/>
  <c r="H23" i="2"/>
  <c r="H101" i="2"/>
  <c r="H19" i="2"/>
  <c r="H99" i="2"/>
  <c r="E20" i="2"/>
  <c r="G20" i="2"/>
  <c r="H25" i="2"/>
  <c r="I25" i="2"/>
  <c r="I23" i="2"/>
  <c r="I104" i="2"/>
  <c r="I102" i="2"/>
  <c r="I100" i="2"/>
  <c r="I103" i="2"/>
  <c r="I101" i="2"/>
  <c r="I99" i="2"/>
  <c r="I19" i="2"/>
  <c r="B4" i="2"/>
  <c r="C4" i="2" s="1"/>
  <c r="I21" i="2"/>
  <c r="I24" i="2"/>
  <c r="L64" i="1"/>
  <c r="L89" i="1"/>
  <c r="L60" i="1"/>
  <c r="L88" i="1"/>
  <c r="L56" i="1"/>
  <c r="L84" i="1"/>
  <c r="L52" i="1"/>
  <c r="L48" i="1"/>
  <c r="L68" i="1"/>
  <c r="L76" i="1"/>
  <c r="L44" i="1"/>
  <c r="L92" i="1"/>
  <c r="L80" i="1"/>
  <c r="L72" i="1"/>
  <c r="L32" i="1"/>
  <c r="M89" i="1"/>
  <c r="M82" i="1"/>
  <c r="M72" i="1"/>
  <c r="M53" i="1"/>
  <c r="M41" i="1"/>
  <c r="M81" i="1"/>
  <c r="M63" i="1"/>
  <c r="M40" i="1"/>
  <c r="M88" i="1"/>
  <c r="M71" i="1"/>
  <c r="M60" i="1"/>
  <c r="M50" i="1"/>
  <c r="M39" i="1"/>
  <c r="M49" i="1"/>
  <c r="M79" i="1"/>
  <c r="M69" i="1"/>
  <c r="M36" i="1"/>
  <c r="M93" i="1"/>
  <c r="M86" i="1"/>
  <c r="M77" i="1"/>
  <c r="M59" i="1"/>
  <c r="M35" i="1"/>
  <c r="M29" i="1"/>
  <c r="M85" i="1"/>
  <c r="M67" i="1"/>
  <c r="M56" i="1"/>
  <c r="M47" i="1"/>
  <c r="M33" i="1"/>
  <c r="M91" i="1"/>
  <c r="M84" i="1"/>
  <c r="M75" i="1"/>
  <c r="M66" i="1"/>
  <c r="M32" i="1"/>
  <c r="M90" i="1"/>
  <c r="M73" i="1"/>
  <c r="M65" i="1"/>
  <c r="M54" i="1"/>
  <c r="M43" i="1"/>
  <c r="M78" i="1"/>
  <c r="M52" i="1"/>
  <c r="M46" i="1"/>
  <c r="M64" i="1"/>
  <c r="M58" i="1"/>
  <c r="M45" i="1"/>
  <c r="M38" i="1"/>
  <c r="M83" i="1"/>
  <c r="M76" i="1"/>
  <c r="M70" i="1"/>
  <c r="M57" i="1"/>
  <c r="M51" i="1"/>
  <c r="M44" i="1"/>
  <c r="M37" i="1"/>
  <c r="M68" i="1"/>
  <c r="M62" i="1"/>
  <c r="M31" i="1"/>
  <c r="M92" i="1"/>
  <c r="M87" i="1"/>
  <c r="M80" i="1"/>
  <c r="M74" i="1"/>
  <c r="M61" i="1"/>
  <c r="M48" i="1"/>
  <c r="M42" i="1"/>
  <c r="L91" i="1"/>
  <c r="L87" i="1"/>
  <c r="L83" i="1"/>
  <c r="L79" i="1"/>
  <c r="L75" i="1"/>
  <c r="L71" i="1"/>
  <c r="L67" i="1"/>
  <c r="L63" i="1"/>
  <c r="L59" i="1"/>
  <c r="L55" i="1"/>
  <c r="L51" i="1"/>
  <c r="L47" i="1"/>
  <c r="L43" i="1"/>
  <c r="L39" i="1"/>
  <c r="L35" i="1"/>
  <c r="L29" i="1"/>
  <c r="L86" i="1"/>
  <c r="L40" i="1"/>
  <c r="L36" i="1"/>
  <c r="L90" i="1"/>
  <c r="L82" i="1"/>
  <c r="L78" i="1"/>
  <c r="L74" i="1"/>
  <c r="L70" i="1"/>
  <c r="L66" i="1"/>
  <c r="L62" i="1"/>
  <c r="L58" i="1"/>
  <c r="L54" i="1"/>
  <c r="L50" i="1"/>
  <c r="L46" i="1"/>
  <c r="L42" i="1"/>
  <c r="L38" i="1"/>
  <c r="L34" i="1"/>
  <c r="L31" i="1"/>
  <c r="L93" i="1"/>
  <c r="L85" i="1"/>
  <c r="L81" i="1"/>
  <c r="L77" i="1"/>
  <c r="L73" i="1"/>
  <c r="L69" i="1"/>
  <c r="L65" i="1"/>
  <c r="L61" i="1"/>
  <c r="L57" i="1"/>
  <c r="L53" i="1"/>
  <c r="L49" i="1"/>
  <c r="L45" i="1"/>
  <c r="L41" i="1"/>
  <c r="L37" i="1"/>
  <c r="I102" i="1"/>
  <c r="I101" i="1"/>
  <c r="I103" i="1"/>
  <c r="H100" i="1"/>
  <c r="H99" i="1"/>
  <c r="H101" i="1"/>
  <c r="I104" i="1"/>
  <c r="I99" i="1"/>
  <c r="I26" i="1"/>
  <c r="I25" i="1"/>
  <c r="I24" i="1"/>
  <c r="I100" i="1"/>
  <c r="I22" i="1"/>
  <c r="H26" i="1"/>
  <c r="H24" i="1"/>
  <c r="H21" i="1"/>
  <c r="H102" i="1"/>
  <c r="H22" i="1"/>
  <c r="H104" i="1"/>
  <c r="H103" i="1"/>
  <c r="B4" i="1"/>
  <c r="C4" i="1" s="1"/>
  <c r="I19" i="1"/>
  <c r="I21" i="1"/>
  <c r="I23" i="1"/>
  <c r="H23" i="1"/>
  <c r="H25" i="1"/>
  <c r="G19" i="1"/>
  <c r="K29" i="6" l="1"/>
  <c r="E29" i="6"/>
  <c r="E22" i="5"/>
  <c r="G22" i="5"/>
  <c r="G21" i="4"/>
  <c r="E21" i="4"/>
  <c r="G21" i="3"/>
  <c r="E21" i="3"/>
  <c r="G21" i="2"/>
  <c r="E21" i="2"/>
  <c r="F29" i="1"/>
  <c r="G20" i="1"/>
  <c r="E20" i="1"/>
  <c r="L30" i="6" l="1"/>
  <c r="M30" i="6"/>
  <c r="F30" i="6"/>
  <c r="K30" i="6" s="1"/>
  <c r="G23" i="5"/>
  <c r="E23" i="5"/>
  <c r="E22" i="4"/>
  <c r="G22" i="4"/>
  <c r="E22" i="3"/>
  <c r="G22" i="3"/>
  <c r="G22" i="2"/>
  <c r="E22" i="2"/>
  <c r="G21" i="1"/>
  <c r="E21" i="1"/>
  <c r="M31" i="6" l="1"/>
  <c r="H31" i="6"/>
  <c r="L31" i="6"/>
  <c r="I31" i="6"/>
  <c r="J31" i="6" s="1"/>
  <c r="K31" i="6" s="1"/>
  <c r="G31" i="6"/>
  <c r="F31" i="6"/>
  <c r="E30" i="6"/>
  <c r="E24" i="5"/>
  <c r="G24" i="5"/>
  <c r="G23" i="4"/>
  <c r="E23" i="4"/>
  <c r="G23" i="3"/>
  <c r="E23" i="3"/>
  <c r="G23" i="2"/>
  <c r="E23" i="2"/>
  <c r="E22" i="1"/>
  <c r="G22" i="1"/>
  <c r="M32" i="6" l="1"/>
  <c r="L32" i="6"/>
  <c r="F32" i="6"/>
  <c r="K32" i="6" s="1"/>
  <c r="E31" i="6"/>
  <c r="G25" i="5"/>
  <c r="E25" i="5"/>
  <c r="G24" i="4"/>
  <c r="E24" i="4"/>
  <c r="G24" i="3"/>
  <c r="E24" i="3"/>
  <c r="G24" i="2"/>
  <c r="E24" i="2"/>
  <c r="E23" i="1"/>
  <c r="G23" i="1"/>
  <c r="G33" i="6" l="1"/>
  <c r="M33" i="6"/>
  <c r="L33" i="6"/>
  <c r="I33" i="6"/>
  <c r="F33" i="6"/>
  <c r="J33" i="6" s="1"/>
  <c r="K33" i="6" s="1"/>
  <c r="H33" i="6"/>
  <c r="E32" i="6"/>
  <c r="E26" i="5"/>
  <c r="G26" i="5"/>
  <c r="E25" i="4"/>
  <c r="G25" i="4"/>
  <c r="G25" i="3"/>
  <c r="E25" i="3"/>
  <c r="G25" i="2"/>
  <c r="E25" i="2"/>
  <c r="E24" i="1"/>
  <c r="G24" i="1"/>
  <c r="F34" i="6" l="1"/>
  <c r="K34" i="6" s="1"/>
  <c r="M34" i="6"/>
  <c r="L34" i="6"/>
  <c r="E33" i="6"/>
  <c r="K29" i="5"/>
  <c r="E29" i="5"/>
  <c r="G26" i="4"/>
  <c r="E26" i="4"/>
  <c r="G26" i="3"/>
  <c r="E26" i="3"/>
  <c r="G26" i="2"/>
  <c r="E26" i="2"/>
  <c r="E25" i="1"/>
  <c r="G25" i="1"/>
  <c r="G35" i="6" l="1"/>
  <c r="F35" i="6"/>
  <c r="L35" i="6"/>
  <c r="M35" i="6"/>
  <c r="H35" i="6"/>
  <c r="I35" i="6" s="1"/>
  <c r="J35" i="6" s="1"/>
  <c r="K35" i="6" s="1"/>
  <c r="E34" i="6"/>
  <c r="M30" i="5"/>
  <c r="L30" i="5"/>
  <c r="F30" i="5"/>
  <c r="K30" i="5" s="1"/>
  <c r="E30" i="5" s="1"/>
  <c r="E29" i="4"/>
  <c r="K29" i="4"/>
  <c r="E29" i="3"/>
  <c r="K29" i="3"/>
  <c r="K29" i="2"/>
  <c r="E29" i="2"/>
  <c r="E26" i="1"/>
  <c r="G26" i="1"/>
  <c r="L36" i="6" l="1"/>
  <c r="F36" i="6"/>
  <c r="M36" i="6"/>
  <c r="K36" i="6"/>
  <c r="E35" i="6"/>
  <c r="M31" i="5"/>
  <c r="L31" i="5"/>
  <c r="I31" i="5"/>
  <c r="G31" i="5"/>
  <c r="F31" i="5"/>
  <c r="H31" i="5"/>
  <c r="L30" i="4"/>
  <c r="F30" i="4"/>
  <c r="K30" i="4" s="1"/>
  <c r="M30" i="4"/>
  <c r="F30" i="3"/>
  <c r="K30" i="3" s="1"/>
  <c r="M30" i="3"/>
  <c r="L30" i="3"/>
  <c r="M30" i="2"/>
  <c r="L30" i="2"/>
  <c r="F30" i="2"/>
  <c r="K30" i="2" s="1"/>
  <c r="E29" i="1"/>
  <c r="J31" i="5" l="1"/>
  <c r="K31" i="5" s="1"/>
  <c r="H37" i="6"/>
  <c r="I37" i="6" s="1"/>
  <c r="J37" i="6" s="1"/>
  <c r="K37" i="6" s="1"/>
  <c r="F37" i="6"/>
  <c r="M37" i="6"/>
  <c r="L37" i="6"/>
  <c r="G37" i="6"/>
  <c r="E36" i="6"/>
  <c r="M32" i="5"/>
  <c r="L32" i="5"/>
  <c r="F32" i="5"/>
  <c r="K32" i="5"/>
  <c r="E32" i="5" s="1"/>
  <c r="E31" i="5"/>
  <c r="G31" i="4"/>
  <c r="L31" i="4"/>
  <c r="H31" i="4"/>
  <c r="I31" i="4" s="1"/>
  <c r="J31" i="4" s="1"/>
  <c r="K31" i="4" s="1"/>
  <c r="M31" i="4"/>
  <c r="F31" i="4"/>
  <c r="E30" i="4"/>
  <c r="H31" i="3"/>
  <c r="G31" i="3"/>
  <c r="I31" i="3"/>
  <c r="F31" i="3"/>
  <c r="M31" i="3"/>
  <c r="L31" i="3"/>
  <c r="E30" i="3"/>
  <c r="L31" i="2"/>
  <c r="G31" i="2"/>
  <c r="M31" i="2"/>
  <c r="H31" i="2"/>
  <c r="I31" i="2" s="1"/>
  <c r="F31" i="2"/>
  <c r="E30" i="2"/>
  <c r="J29" i="1"/>
  <c r="J31" i="3" l="1"/>
  <c r="K31" i="3" s="1"/>
  <c r="M32" i="3" s="1"/>
  <c r="J31" i="2"/>
  <c r="K31" i="2" s="1"/>
  <c r="L38" i="6"/>
  <c r="M38" i="6"/>
  <c r="F38" i="6"/>
  <c r="K38" i="6" s="1"/>
  <c r="E37" i="6"/>
  <c r="G33" i="5"/>
  <c r="F33" i="5"/>
  <c r="M33" i="5"/>
  <c r="L33" i="5"/>
  <c r="H33" i="5"/>
  <c r="I33" i="5" s="1"/>
  <c r="J33" i="5" s="1"/>
  <c r="K33" i="5" s="1"/>
  <c r="F32" i="4"/>
  <c r="K32" i="4" s="1"/>
  <c r="M32" i="4"/>
  <c r="L32" i="4"/>
  <c r="E31" i="4"/>
  <c r="M32" i="2"/>
  <c r="F32" i="2"/>
  <c r="K32" i="2" s="1"/>
  <c r="L32" i="2"/>
  <c r="E31" i="2"/>
  <c r="K29" i="1"/>
  <c r="L32" i="3" l="1"/>
  <c r="F32" i="3"/>
  <c r="K32" i="3" s="1"/>
  <c r="E31" i="3"/>
  <c r="M39" i="6"/>
  <c r="H39" i="6"/>
  <c r="I39" i="6" s="1"/>
  <c r="F39" i="6"/>
  <c r="J39" i="6" s="1"/>
  <c r="K39" i="6" s="1"/>
  <c r="G39" i="6"/>
  <c r="L39" i="6"/>
  <c r="E38" i="6"/>
  <c r="F34" i="5"/>
  <c r="L34" i="5"/>
  <c r="M34" i="5"/>
  <c r="K34" i="5"/>
  <c r="E33" i="5"/>
  <c r="M33" i="4"/>
  <c r="H33" i="4"/>
  <c r="I33" i="4" s="1"/>
  <c r="G33" i="4"/>
  <c r="F33" i="4"/>
  <c r="L33" i="4"/>
  <c r="E32" i="4"/>
  <c r="F33" i="2"/>
  <c r="M33" i="2"/>
  <c r="L33" i="2"/>
  <c r="H33" i="2"/>
  <c r="I33" i="2" s="1"/>
  <c r="J33" i="2" s="1"/>
  <c r="K33" i="2" s="1"/>
  <c r="G33" i="2"/>
  <c r="E32" i="2"/>
  <c r="F30" i="1"/>
  <c r="K30" i="1" s="1"/>
  <c r="L30" i="1"/>
  <c r="M30" i="1"/>
  <c r="J33" i="4" l="1"/>
  <c r="K33" i="4" s="1"/>
  <c r="L34" i="4" s="1"/>
  <c r="H33" i="3"/>
  <c r="I33" i="3" s="1"/>
  <c r="L33" i="3"/>
  <c r="M33" i="3"/>
  <c r="F33" i="3"/>
  <c r="E32" i="3"/>
  <c r="G33" i="3"/>
  <c r="M40" i="6"/>
  <c r="K40" i="6"/>
  <c r="L40" i="6"/>
  <c r="F40" i="6"/>
  <c r="E39" i="6"/>
  <c r="H35" i="5"/>
  <c r="I35" i="5" s="1"/>
  <c r="G35" i="5"/>
  <c r="F35" i="5"/>
  <c r="M35" i="5"/>
  <c r="L35" i="5"/>
  <c r="E34" i="5"/>
  <c r="M34" i="4"/>
  <c r="F34" i="4"/>
  <c r="K34" i="4" s="1"/>
  <c r="E33" i="4"/>
  <c r="J33" i="3"/>
  <c r="K33" i="3" s="1"/>
  <c r="L34" i="2"/>
  <c r="F34" i="2"/>
  <c r="M34" i="2"/>
  <c r="K34" i="2"/>
  <c r="E33" i="2"/>
  <c r="G31" i="1"/>
  <c r="F31" i="1"/>
  <c r="H31" i="1"/>
  <c r="I31" i="1" s="1"/>
  <c r="J31" i="1" s="1"/>
  <c r="K31" i="1" s="1"/>
  <c r="E30" i="1"/>
  <c r="J35" i="5" l="1"/>
  <c r="K35" i="5" s="1"/>
  <c r="G41" i="6"/>
  <c r="M41" i="6"/>
  <c r="L41" i="6"/>
  <c r="H41" i="6"/>
  <c r="I41" i="6" s="1"/>
  <c r="F41" i="6"/>
  <c r="J41" i="6" s="1"/>
  <c r="K41" i="6" s="1"/>
  <c r="E40" i="6"/>
  <c r="L36" i="5"/>
  <c r="F36" i="5"/>
  <c r="K36" i="5" s="1"/>
  <c r="M36" i="5"/>
  <c r="E35" i="5"/>
  <c r="G35" i="4"/>
  <c r="H35" i="4"/>
  <c r="I35" i="4" s="1"/>
  <c r="J35" i="4" s="1"/>
  <c r="K35" i="4" s="1"/>
  <c r="M35" i="4"/>
  <c r="F35" i="4"/>
  <c r="L35" i="4"/>
  <c r="E34" i="4"/>
  <c r="M34" i="3"/>
  <c r="L34" i="3"/>
  <c r="F34" i="3"/>
  <c r="K34" i="3" s="1"/>
  <c r="E33" i="3"/>
  <c r="H35" i="2"/>
  <c r="G35" i="2"/>
  <c r="F35" i="2"/>
  <c r="M35" i="2"/>
  <c r="L35" i="2"/>
  <c r="I35" i="2"/>
  <c r="E34" i="2"/>
  <c r="F32" i="1"/>
  <c r="K32" i="1" s="1"/>
  <c r="F33" i="1" s="1"/>
  <c r="E31" i="1"/>
  <c r="J35" i="2" l="1"/>
  <c r="K35" i="2" s="1"/>
  <c r="F42" i="6"/>
  <c r="M42" i="6"/>
  <c r="L42" i="6"/>
  <c r="K42" i="6"/>
  <c r="E42" i="6"/>
  <c r="E41" i="6"/>
  <c r="H37" i="5"/>
  <c r="I37" i="5" s="1"/>
  <c r="J37" i="5" s="1"/>
  <c r="K37" i="5" s="1"/>
  <c r="G37" i="5"/>
  <c r="M37" i="5"/>
  <c r="L37" i="5"/>
  <c r="F37" i="5"/>
  <c r="E36" i="5"/>
  <c r="F36" i="4"/>
  <c r="K36" i="4"/>
  <c r="E36" i="4" s="1"/>
  <c r="L36" i="4"/>
  <c r="M36" i="4"/>
  <c r="E35" i="4"/>
  <c r="F35" i="3"/>
  <c r="L35" i="3"/>
  <c r="G35" i="3"/>
  <c r="I35" i="3"/>
  <c r="J35" i="3" s="1"/>
  <c r="K35" i="3" s="1"/>
  <c r="M35" i="3"/>
  <c r="H35" i="3"/>
  <c r="E34" i="3"/>
  <c r="F36" i="2"/>
  <c r="K36" i="2" s="1"/>
  <c r="L36" i="2"/>
  <c r="M36" i="2"/>
  <c r="E35" i="2"/>
  <c r="H33" i="1"/>
  <c r="I33" i="1" s="1"/>
  <c r="J33" i="1" s="1"/>
  <c r="K33" i="1" s="1"/>
  <c r="E32" i="1"/>
  <c r="G33" i="1"/>
  <c r="I43" i="6" l="1"/>
  <c r="J43" i="6" s="1"/>
  <c r="K43" i="6" s="1"/>
  <c r="G43" i="6"/>
  <c r="F43" i="6"/>
  <c r="L43" i="6"/>
  <c r="H43" i="6"/>
  <c r="M43" i="6"/>
  <c r="M38" i="5"/>
  <c r="L38" i="5"/>
  <c r="F38" i="5"/>
  <c r="K38" i="5" s="1"/>
  <c r="E37" i="5"/>
  <c r="M37" i="4"/>
  <c r="L37" i="4"/>
  <c r="F37" i="4"/>
  <c r="H37" i="4"/>
  <c r="I37" i="4" s="1"/>
  <c r="J37" i="4" s="1"/>
  <c r="K37" i="4" s="1"/>
  <c r="G37" i="4"/>
  <c r="M36" i="3"/>
  <c r="L36" i="3"/>
  <c r="F36" i="3"/>
  <c r="K36" i="3" s="1"/>
  <c r="E35" i="3"/>
  <c r="H37" i="2"/>
  <c r="I37" i="2" s="1"/>
  <c r="M37" i="2"/>
  <c r="L37" i="2"/>
  <c r="G37" i="2"/>
  <c r="F37" i="2"/>
  <c r="E36" i="2"/>
  <c r="F34" i="1"/>
  <c r="K34" i="1" s="1"/>
  <c r="E33" i="1"/>
  <c r="J37" i="2" l="1"/>
  <c r="K37" i="2" s="1"/>
  <c r="F38" i="2" s="1"/>
  <c r="K38" i="2" s="1"/>
  <c r="L44" i="6"/>
  <c r="F44" i="6"/>
  <c r="K44" i="6"/>
  <c r="M44" i="6"/>
  <c r="E43" i="6"/>
  <c r="M39" i="5"/>
  <c r="L39" i="5"/>
  <c r="G39" i="5"/>
  <c r="H39" i="5"/>
  <c r="I39" i="5" s="1"/>
  <c r="F39" i="5"/>
  <c r="E38" i="5"/>
  <c r="L38" i="4"/>
  <c r="F38" i="4"/>
  <c r="K38" i="4" s="1"/>
  <c r="M38" i="4"/>
  <c r="E37" i="4"/>
  <c r="H37" i="3"/>
  <c r="F37" i="3"/>
  <c r="M37" i="3"/>
  <c r="G37" i="3"/>
  <c r="L37" i="3"/>
  <c r="I37" i="3"/>
  <c r="J37" i="3" s="1"/>
  <c r="K37" i="3" s="1"/>
  <c r="E36" i="3"/>
  <c r="L38" i="2"/>
  <c r="F35" i="1"/>
  <c r="H35" i="1"/>
  <c r="I35" i="1" s="1"/>
  <c r="G35" i="1"/>
  <c r="E34" i="1"/>
  <c r="J39" i="5" l="1"/>
  <c r="K39" i="5" s="1"/>
  <c r="M40" i="5" s="1"/>
  <c r="M38" i="2"/>
  <c r="E37" i="2"/>
  <c r="H45" i="6"/>
  <c r="I45" i="6" s="1"/>
  <c r="J45" i="6" s="1"/>
  <c r="K45" i="6" s="1"/>
  <c r="F45" i="6"/>
  <c r="L45" i="6"/>
  <c r="M45" i="6"/>
  <c r="G45" i="6"/>
  <c r="E44" i="6"/>
  <c r="G39" i="4"/>
  <c r="I39" i="4"/>
  <c r="H39" i="4"/>
  <c r="F39" i="4"/>
  <c r="M39" i="4"/>
  <c r="L39" i="4"/>
  <c r="E38" i="4"/>
  <c r="M38" i="3"/>
  <c r="F38" i="3"/>
  <c r="K38" i="3" s="1"/>
  <c r="L38" i="3"/>
  <c r="E37" i="3"/>
  <c r="L39" i="2"/>
  <c r="G39" i="2"/>
  <c r="M39" i="2"/>
  <c r="H39" i="2"/>
  <c r="I39" i="2" s="1"/>
  <c r="F39" i="2"/>
  <c r="E38" i="2"/>
  <c r="J35" i="1"/>
  <c r="K35" i="1" s="1"/>
  <c r="E39" i="5" l="1"/>
  <c r="F40" i="5"/>
  <c r="K40" i="5" s="1"/>
  <c r="L40" i="5"/>
  <c r="J39" i="4"/>
  <c r="K39" i="4" s="1"/>
  <c r="L46" i="6"/>
  <c r="K46" i="6"/>
  <c r="E46" i="6"/>
  <c r="F46" i="6"/>
  <c r="M46" i="6"/>
  <c r="E45" i="6"/>
  <c r="F40" i="4"/>
  <c r="K40" i="4" s="1"/>
  <c r="E40" i="4" s="1"/>
  <c r="M40" i="4"/>
  <c r="L40" i="4"/>
  <c r="E39" i="4"/>
  <c r="H39" i="3"/>
  <c r="G39" i="3"/>
  <c r="M39" i="3"/>
  <c r="F39" i="3"/>
  <c r="L39" i="3"/>
  <c r="I39" i="3"/>
  <c r="J39" i="3" s="1"/>
  <c r="K39" i="3" s="1"/>
  <c r="E38" i="3"/>
  <c r="J39" i="2"/>
  <c r="K39" i="2" s="1"/>
  <c r="E35" i="1"/>
  <c r="F36" i="1"/>
  <c r="K36" i="1" s="1"/>
  <c r="E40" i="5" l="1"/>
  <c r="G41" i="5"/>
  <c r="F41" i="5"/>
  <c r="L41" i="5"/>
  <c r="M41" i="5"/>
  <c r="H41" i="5"/>
  <c r="I41" i="5" s="1"/>
  <c r="J41" i="5" s="1"/>
  <c r="K41" i="5" s="1"/>
  <c r="M47" i="6"/>
  <c r="H47" i="6"/>
  <c r="L47" i="6"/>
  <c r="I47" i="6"/>
  <c r="G47" i="6"/>
  <c r="F47" i="6"/>
  <c r="J47" i="6" s="1"/>
  <c r="K47" i="6" s="1"/>
  <c r="M41" i="4"/>
  <c r="F41" i="4"/>
  <c r="H41" i="4"/>
  <c r="I41" i="4" s="1"/>
  <c r="J41" i="4" s="1"/>
  <c r="K41" i="4" s="1"/>
  <c r="G41" i="4"/>
  <c r="L41" i="4"/>
  <c r="M40" i="3"/>
  <c r="F40" i="3"/>
  <c r="K40" i="3" s="1"/>
  <c r="L40" i="3"/>
  <c r="E39" i="3"/>
  <c r="M40" i="2"/>
  <c r="F40" i="2"/>
  <c r="K40" i="2" s="1"/>
  <c r="L40" i="2"/>
  <c r="E39" i="2"/>
  <c r="F37" i="1"/>
  <c r="H37" i="1"/>
  <c r="I37" i="1" s="1"/>
  <c r="G37" i="1"/>
  <c r="E36" i="1"/>
  <c r="F42" i="5" l="1"/>
  <c r="K42" i="5" s="1"/>
  <c r="M42" i="5"/>
  <c r="E41" i="5"/>
  <c r="L42" i="5"/>
  <c r="M48" i="6"/>
  <c r="F48" i="6"/>
  <c r="K48" i="6" s="1"/>
  <c r="L48" i="6"/>
  <c r="E47" i="6"/>
  <c r="L42" i="4"/>
  <c r="F42" i="4"/>
  <c r="K42" i="4" s="1"/>
  <c r="E42" i="4" s="1"/>
  <c r="M42" i="4"/>
  <c r="E41" i="4"/>
  <c r="L41" i="3"/>
  <c r="M41" i="3"/>
  <c r="H41" i="3"/>
  <c r="I41" i="3" s="1"/>
  <c r="G41" i="3"/>
  <c r="F41" i="3"/>
  <c r="E40" i="3"/>
  <c r="F41" i="2"/>
  <c r="M41" i="2"/>
  <c r="L41" i="2"/>
  <c r="G41" i="2"/>
  <c r="H41" i="2"/>
  <c r="I41" i="2" s="1"/>
  <c r="E40" i="2"/>
  <c r="J37" i="1"/>
  <c r="K37" i="1" s="1"/>
  <c r="H43" i="5" l="1"/>
  <c r="I43" i="5" s="1"/>
  <c r="G43" i="5"/>
  <c r="F43" i="5"/>
  <c r="M43" i="5"/>
  <c r="L43" i="5"/>
  <c r="E42" i="5"/>
  <c r="J41" i="3"/>
  <c r="K41" i="3" s="1"/>
  <c r="E41" i="3" s="1"/>
  <c r="G49" i="6"/>
  <c r="M49" i="6"/>
  <c r="L49" i="6"/>
  <c r="F49" i="6"/>
  <c r="H49" i="6"/>
  <c r="I49" i="6" s="1"/>
  <c r="J49" i="6" s="1"/>
  <c r="K49" i="6" s="1"/>
  <c r="E48" i="6"/>
  <c r="J43" i="5"/>
  <c r="K43" i="5" s="1"/>
  <c r="G43" i="4"/>
  <c r="M43" i="4"/>
  <c r="L43" i="4"/>
  <c r="F43" i="4"/>
  <c r="H43" i="4"/>
  <c r="I43" i="4" s="1"/>
  <c r="J41" i="2"/>
  <c r="K41" i="2" s="1"/>
  <c r="F38" i="1"/>
  <c r="K38" i="1" s="1"/>
  <c r="H39" i="1" s="1"/>
  <c r="I39" i="1" s="1"/>
  <c r="E37" i="1"/>
  <c r="F42" i="3" l="1"/>
  <c r="K42" i="3" s="1"/>
  <c r="L42" i="3"/>
  <c r="M42" i="3"/>
  <c r="F50" i="6"/>
  <c r="M50" i="6"/>
  <c r="K50" i="6"/>
  <c r="E50" i="6"/>
  <c r="L50" i="6"/>
  <c r="E49" i="6"/>
  <c r="L44" i="5"/>
  <c r="F44" i="5"/>
  <c r="K44" i="5" s="1"/>
  <c r="M44" i="5"/>
  <c r="E43" i="5"/>
  <c r="J43" i="4"/>
  <c r="K43" i="4" s="1"/>
  <c r="L42" i="2"/>
  <c r="M42" i="2"/>
  <c r="F42" i="2"/>
  <c r="K42" i="2" s="1"/>
  <c r="E41" i="2"/>
  <c r="F39" i="1"/>
  <c r="J39" i="1" s="1"/>
  <c r="K39" i="1" s="1"/>
  <c r="E39" i="1" s="1"/>
  <c r="E38" i="1"/>
  <c r="G39" i="1"/>
  <c r="L43" i="3" l="1"/>
  <c r="M43" i="3"/>
  <c r="I43" i="3"/>
  <c r="J43" i="3" s="1"/>
  <c r="K43" i="3" s="1"/>
  <c r="F44" i="3" s="1"/>
  <c r="K44" i="3" s="1"/>
  <c r="G43" i="3"/>
  <c r="F43" i="3"/>
  <c r="H43" i="3"/>
  <c r="E42" i="3"/>
  <c r="G51" i="6"/>
  <c r="F51" i="6"/>
  <c r="L51" i="6"/>
  <c r="M51" i="6"/>
  <c r="H51" i="6"/>
  <c r="I51" i="6" s="1"/>
  <c r="H45" i="5"/>
  <c r="I45" i="5" s="1"/>
  <c r="J45" i="5" s="1"/>
  <c r="K45" i="5" s="1"/>
  <c r="G45" i="5"/>
  <c r="M45" i="5"/>
  <c r="L45" i="5"/>
  <c r="F45" i="5"/>
  <c r="E44" i="5"/>
  <c r="F44" i="4"/>
  <c r="L44" i="4"/>
  <c r="K44" i="4"/>
  <c r="E44" i="4"/>
  <c r="M44" i="4"/>
  <c r="E43" i="4"/>
  <c r="E43" i="3"/>
  <c r="H43" i="2"/>
  <c r="G43" i="2"/>
  <c r="F43" i="2"/>
  <c r="J43" i="2" s="1"/>
  <c r="K43" i="2" s="1"/>
  <c r="I43" i="2"/>
  <c r="M43" i="2"/>
  <c r="L43" i="2"/>
  <c r="E42" i="2"/>
  <c r="F40" i="1"/>
  <c r="K40" i="1" s="1"/>
  <c r="M44" i="3" l="1"/>
  <c r="L44" i="3"/>
  <c r="J51" i="6"/>
  <c r="K51" i="6" s="1"/>
  <c r="M46" i="5"/>
  <c r="L46" i="5"/>
  <c r="F46" i="5"/>
  <c r="K46" i="5" s="1"/>
  <c r="E45" i="5"/>
  <c r="I45" i="4"/>
  <c r="M45" i="4"/>
  <c r="L45" i="4"/>
  <c r="H45" i="4"/>
  <c r="G45" i="4"/>
  <c r="F45" i="4"/>
  <c r="H45" i="3"/>
  <c r="F45" i="3"/>
  <c r="M45" i="3"/>
  <c r="L45" i="3"/>
  <c r="I45" i="3"/>
  <c r="J45" i="3" s="1"/>
  <c r="K45" i="3" s="1"/>
  <c r="G45" i="3"/>
  <c r="E44" i="3"/>
  <c r="F44" i="2"/>
  <c r="K44" i="2" s="1"/>
  <c r="M44" i="2"/>
  <c r="L44" i="2"/>
  <c r="E43" i="2"/>
  <c r="G41" i="1"/>
  <c r="F41" i="1"/>
  <c r="H41" i="1"/>
  <c r="I41" i="1" s="1"/>
  <c r="J41" i="1" s="1"/>
  <c r="K41" i="1" s="1"/>
  <c r="E40" i="1"/>
  <c r="J45" i="4" l="1"/>
  <c r="K45" i="4" s="1"/>
  <c r="L46" i="4" s="1"/>
  <c r="L52" i="6"/>
  <c r="F52" i="6"/>
  <c r="M52" i="6"/>
  <c r="K52" i="6"/>
  <c r="E51" i="6"/>
  <c r="M47" i="5"/>
  <c r="L47" i="5"/>
  <c r="G47" i="5"/>
  <c r="H47" i="5"/>
  <c r="I47" i="5" s="1"/>
  <c r="F47" i="5"/>
  <c r="E46" i="5"/>
  <c r="K46" i="3"/>
  <c r="E46" i="3"/>
  <c r="L46" i="3"/>
  <c r="M46" i="3"/>
  <c r="F46" i="3"/>
  <c r="E45" i="3"/>
  <c r="H45" i="2"/>
  <c r="I45" i="2" s="1"/>
  <c r="M45" i="2"/>
  <c r="G45" i="2"/>
  <c r="F45" i="2"/>
  <c r="L45" i="2"/>
  <c r="E44" i="2"/>
  <c r="F42" i="1"/>
  <c r="K42" i="1" s="1"/>
  <c r="E42" i="1" s="1"/>
  <c r="E41" i="1"/>
  <c r="J47" i="5" l="1"/>
  <c r="K47" i="5" s="1"/>
  <c r="L48" i="5" s="1"/>
  <c r="E45" i="4"/>
  <c r="M46" i="4"/>
  <c r="F46" i="4"/>
  <c r="K46" i="4" s="1"/>
  <c r="L47" i="4" s="1"/>
  <c r="H53" i="6"/>
  <c r="I53" i="6" s="1"/>
  <c r="J53" i="6" s="1"/>
  <c r="K53" i="6" s="1"/>
  <c r="F53" i="6"/>
  <c r="G53" i="6"/>
  <c r="M53" i="6"/>
  <c r="L53" i="6"/>
  <c r="E52" i="6"/>
  <c r="H47" i="3"/>
  <c r="G47" i="3"/>
  <c r="L47" i="3"/>
  <c r="M47" i="3"/>
  <c r="I47" i="3"/>
  <c r="F47" i="3"/>
  <c r="J47" i="3" s="1"/>
  <c r="K47" i="3" s="1"/>
  <c r="J45" i="2"/>
  <c r="K45" i="2" s="1"/>
  <c r="H43" i="1"/>
  <c r="I43" i="1" s="1"/>
  <c r="F43" i="1"/>
  <c r="G43" i="1"/>
  <c r="E47" i="5" l="1"/>
  <c r="K48" i="5"/>
  <c r="M49" i="5" s="1"/>
  <c r="F48" i="5"/>
  <c r="M48" i="5"/>
  <c r="M47" i="4"/>
  <c r="E46" i="4"/>
  <c r="H47" i="4"/>
  <c r="I47" i="4" s="1"/>
  <c r="F47" i="4"/>
  <c r="G47" i="4"/>
  <c r="J47" i="4"/>
  <c r="K47" i="4" s="1"/>
  <c r="F48" i="4" s="1"/>
  <c r="K48" i="4" s="1"/>
  <c r="E48" i="4" s="1"/>
  <c r="L54" i="6"/>
  <c r="K54" i="6"/>
  <c r="M54" i="6"/>
  <c r="F54" i="6"/>
  <c r="E53" i="6"/>
  <c r="M48" i="3"/>
  <c r="F48" i="3"/>
  <c r="K48" i="3" s="1"/>
  <c r="L48" i="3"/>
  <c r="E47" i="3"/>
  <c r="M46" i="2"/>
  <c r="L46" i="2"/>
  <c r="K46" i="2"/>
  <c r="E46" i="2"/>
  <c r="F46" i="2"/>
  <c r="E45" i="2"/>
  <c r="J43" i="1"/>
  <c r="K43" i="1" s="1"/>
  <c r="G49" i="5" l="1"/>
  <c r="H49" i="5"/>
  <c r="I49" i="5" s="1"/>
  <c r="J49" i="5" s="1"/>
  <c r="K49" i="5" s="1"/>
  <c r="F50" i="5" s="1"/>
  <c r="F49" i="5"/>
  <c r="E48" i="5"/>
  <c r="L49" i="5"/>
  <c r="M48" i="4"/>
  <c r="E47" i="4"/>
  <c r="L48" i="4"/>
  <c r="M55" i="6"/>
  <c r="H55" i="6"/>
  <c r="I55" i="6" s="1"/>
  <c r="G55" i="6"/>
  <c r="F55" i="6"/>
  <c r="L55" i="6"/>
  <c r="E54" i="6"/>
  <c r="M49" i="4"/>
  <c r="L49" i="4"/>
  <c r="G49" i="4"/>
  <c r="F49" i="4"/>
  <c r="H49" i="4"/>
  <c r="I49" i="4" s="1"/>
  <c r="M49" i="3"/>
  <c r="L49" i="3"/>
  <c r="G49" i="3"/>
  <c r="H49" i="3"/>
  <c r="I49" i="3" s="1"/>
  <c r="F49" i="3"/>
  <c r="J49" i="3" s="1"/>
  <c r="K49" i="3" s="1"/>
  <c r="E48" i="3"/>
  <c r="L47" i="2"/>
  <c r="G47" i="2"/>
  <c r="M47" i="2"/>
  <c r="I47" i="2"/>
  <c r="H47" i="2"/>
  <c r="F47" i="2"/>
  <c r="J47" i="2" s="1"/>
  <c r="K47" i="2" s="1"/>
  <c r="F44" i="1"/>
  <c r="K44" i="1" s="1"/>
  <c r="E44" i="1" s="1"/>
  <c r="E43" i="1"/>
  <c r="M50" i="5" l="1"/>
  <c r="E49" i="5"/>
  <c r="K50" i="5"/>
  <c r="F51" i="5" s="1"/>
  <c r="L50" i="5"/>
  <c r="E50" i="5"/>
  <c r="J49" i="4"/>
  <c r="K49" i="4" s="1"/>
  <c r="M50" i="4" s="1"/>
  <c r="J55" i="6"/>
  <c r="K55" i="6" s="1"/>
  <c r="H51" i="5"/>
  <c r="I51" i="5" s="1"/>
  <c r="M51" i="5"/>
  <c r="L51" i="5"/>
  <c r="M50" i="3"/>
  <c r="L50" i="3"/>
  <c r="F50" i="3"/>
  <c r="K50" i="3" s="1"/>
  <c r="E49" i="3"/>
  <c r="M48" i="2"/>
  <c r="F48" i="2"/>
  <c r="L48" i="2"/>
  <c r="K48" i="2"/>
  <c r="E47" i="2"/>
  <c r="G45" i="1"/>
  <c r="F45" i="1"/>
  <c r="H45" i="1"/>
  <c r="I45" i="1" s="1"/>
  <c r="G51" i="5" l="1"/>
  <c r="F50" i="4"/>
  <c r="K50" i="4" s="1"/>
  <c r="L50" i="4"/>
  <c r="E49" i="4"/>
  <c r="M56" i="6"/>
  <c r="L56" i="6"/>
  <c r="F56" i="6"/>
  <c r="K56" i="6" s="1"/>
  <c r="E55" i="6"/>
  <c r="J51" i="5"/>
  <c r="K51" i="5" s="1"/>
  <c r="H51" i="3"/>
  <c r="G51" i="3"/>
  <c r="F51" i="3"/>
  <c r="L51" i="3"/>
  <c r="M51" i="3"/>
  <c r="I51" i="3"/>
  <c r="J51" i="3" s="1"/>
  <c r="K51" i="3" s="1"/>
  <c r="E50" i="3"/>
  <c r="F49" i="2"/>
  <c r="M49" i="2"/>
  <c r="L49" i="2"/>
  <c r="H49" i="2"/>
  <c r="I49" i="2" s="1"/>
  <c r="G49" i="2"/>
  <c r="E48" i="2"/>
  <c r="J45" i="1"/>
  <c r="K45" i="1" s="1"/>
  <c r="F51" i="4" l="1"/>
  <c r="L51" i="4"/>
  <c r="H51" i="4"/>
  <c r="I51" i="4" s="1"/>
  <c r="E50" i="4"/>
  <c r="G51" i="4"/>
  <c r="M51" i="4"/>
  <c r="G57" i="6"/>
  <c r="M57" i="6"/>
  <c r="L57" i="6"/>
  <c r="H57" i="6"/>
  <c r="I57" i="6" s="1"/>
  <c r="F57" i="6"/>
  <c r="J57" i="6" s="1"/>
  <c r="K57" i="6" s="1"/>
  <c r="E56" i="6"/>
  <c r="L52" i="5"/>
  <c r="F52" i="5"/>
  <c r="K52" i="5" s="1"/>
  <c r="E52" i="5" s="1"/>
  <c r="M52" i="5"/>
  <c r="E51" i="5"/>
  <c r="F52" i="3"/>
  <c r="K52" i="3" s="1"/>
  <c r="L52" i="3"/>
  <c r="M52" i="3"/>
  <c r="E51" i="3"/>
  <c r="J49" i="2"/>
  <c r="K49" i="2" s="1"/>
  <c r="F46" i="1"/>
  <c r="K46" i="1" s="1"/>
  <c r="E45" i="1"/>
  <c r="J51" i="4" l="1"/>
  <c r="K51" i="4" s="1"/>
  <c r="L52" i="4" s="1"/>
  <c r="E51" i="4"/>
  <c r="F52" i="4"/>
  <c r="K52" i="4" s="1"/>
  <c r="L53" i="4" s="1"/>
  <c r="M52" i="4"/>
  <c r="F58" i="6"/>
  <c r="M58" i="6"/>
  <c r="L58" i="6"/>
  <c r="K58" i="6"/>
  <c r="E58" i="6"/>
  <c r="E57" i="6"/>
  <c r="H53" i="5"/>
  <c r="I53" i="5" s="1"/>
  <c r="G53" i="5"/>
  <c r="M53" i="5"/>
  <c r="F53" i="5"/>
  <c r="L53" i="5"/>
  <c r="H53" i="4"/>
  <c r="I53" i="4" s="1"/>
  <c r="H53" i="3"/>
  <c r="I53" i="3" s="1"/>
  <c r="F53" i="3"/>
  <c r="M53" i="3"/>
  <c r="L53" i="3"/>
  <c r="G53" i="3"/>
  <c r="E52" i="3"/>
  <c r="L50" i="2"/>
  <c r="F50" i="2"/>
  <c r="M50" i="2"/>
  <c r="K50" i="2"/>
  <c r="E49" i="2"/>
  <c r="H47" i="1"/>
  <c r="I47" i="1" s="1"/>
  <c r="G47" i="1"/>
  <c r="F47" i="1"/>
  <c r="E46" i="1"/>
  <c r="J53" i="4" l="1"/>
  <c r="K53" i="4" s="1"/>
  <c r="L54" i="4" s="1"/>
  <c r="E52" i="4"/>
  <c r="F53" i="4"/>
  <c r="M53" i="4"/>
  <c r="G53" i="4"/>
  <c r="I59" i="6"/>
  <c r="G59" i="6"/>
  <c r="F59" i="6"/>
  <c r="J59" i="6" s="1"/>
  <c r="K59" i="6" s="1"/>
  <c r="L59" i="6"/>
  <c r="H59" i="6"/>
  <c r="M59" i="6"/>
  <c r="J53" i="5"/>
  <c r="K53" i="5" s="1"/>
  <c r="J53" i="3"/>
  <c r="K53" i="3" s="1"/>
  <c r="H51" i="2"/>
  <c r="G51" i="2"/>
  <c r="F51" i="2"/>
  <c r="M51" i="2"/>
  <c r="L51" i="2"/>
  <c r="I51" i="2"/>
  <c r="J51" i="2" s="1"/>
  <c r="K51" i="2" s="1"/>
  <c r="E50" i="2"/>
  <c r="J47" i="1"/>
  <c r="K47" i="1" s="1"/>
  <c r="E53" i="4" l="1"/>
  <c r="F54" i="4"/>
  <c r="K54" i="4" s="1"/>
  <c r="L55" i="4" s="1"/>
  <c r="M54" i="4"/>
  <c r="L60" i="6"/>
  <c r="F60" i="6"/>
  <c r="K60" i="6" s="1"/>
  <c r="M60" i="6"/>
  <c r="E59" i="6"/>
  <c r="M54" i="5"/>
  <c r="L54" i="5"/>
  <c r="F54" i="5"/>
  <c r="K54" i="5" s="1"/>
  <c r="E54" i="5" s="1"/>
  <c r="E53" i="5"/>
  <c r="M55" i="4"/>
  <c r="G55" i="4"/>
  <c r="F55" i="4"/>
  <c r="H55" i="4"/>
  <c r="I55" i="4" s="1"/>
  <c r="E54" i="4"/>
  <c r="M54" i="3"/>
  <c r="L54" i="3"/>
  <c r="K54" i="3"/>
  <c r="E54" i="3"/>
  <c r="F54" i="3"/>
  <c r="E53" i="3"/>
  <c r="F52" i="2"/>
  <c r="K52" i="2" s="1"/>
  <c r="L52" i="2"/>
  <c r="M52" i="2"/>
  <c r="E51" i="2"/>
  <c r="E47" i="1"/>
  <c r="F48" i="1"/>
  <c r="K48" i="1" s="1"/>
  <c r="J55" i="4" l="1"/>
  <c r="K55" i="4" s="1"/>
  <c r="H61" i="6"/>
  <c r="I61" i="6" s="1"/>
  <c r="J61" i="6" s="1"/>
  <c r="K61" i="6" s="1"/>
  <c r="F61" i="6"/>
  <c r="M61" i="6"/>
  <c r="L61" i="6"/>
  <c r="G61" i="6"/>
  <c r="E60" i="6"/>
  <c r="M55" i="5"/>
  <c r="L55" i="5"/>
  <c r="G55" i="5"/>
  <c r="F55" i="5"/>
  <c r="H55" i="5"/>
  <c r="I55" i="5" s="1"/>
  <c r="M56" i="4"/>
  <c r="F56" i="4"/>
  <c r="K56" i="4" s="1"/>
  <c r="L56" i="4"/>
  <c r="E55" i="4"/>
  <c r="L55" i="3"/>
  <c r="H55" i="3"/>
  <c r="I55" i="3" s="1"/>
  <c r="J55" i="3" s="1"/>
  <c r="K55" i="3" s="1"/>
  <c r="G55" i="3"/>
  <c r="M55" i="3"/>
  <c r="F55" i="3"/>
  <c r="H53" i="2"/>
  <c r="I53" i="2" s="1"/>
  <c r="M53" i="2"/>
  <c r="L53" i="2"/>
  <c r="G53" i="2"/>
  <c r="F53" i="2"/>
  <c r="J53" i="2" s="1"/>
  <c r="K53" i="2" s="1"/>
  <c r="E52" i="2"/>
  <c r="F49" i="1"/>
  <c r="E48" i="1"/>
  <c r="H49" i="1"/>
  <c r="I49" i="1" s="1"/>
  <c r="J49" i="1" s="1"/>
  <c r="K49" i="1" s="1"/>
  <c r="G49" i="1"/>
  <c r="J55" i="5" l="1"/>
  <c r="K55" i="5" s="1"/>
  <c r="E56" i="4"/>
  <c r="L62" i="6"/>
  <c r="K62" i="6"/>
  <c r="F62" i="6"/>
  <c r="M62" i="6"/>
  <c r="E61" i="6"/>
  <c r="M56" i="5"/>
  <c r="L56" i="5"/>
  <c r="F56" i="5"/>
  <c r="K56" i="5"/>
  <c r="E56" i="5" s="1"/>
  <c r="E55" i="5"/>
  <c r="G57" i="4"/>
  <c r="M57" i="4"/>
  <c r="L57" i="4"/>
  <c r="I57" i="4"/>
  <c r="J57" i="4" s="1"/>
  <c r="K57" i="4" s="1"/>
  <c r="F57" i="4"/>
  <c r="H57" i="4"/>
  <c r="M56" i="3"/>
  <c r="F56" i="3"/>
  <c r="K56" i="3" s="1"/>
  <c r="L56" i="3"/>
  <c r="E55" i="3"/>
  <c r="M54" i="2"/>
  <c r="L54" i="2"/>
  <c r="F54" i="2"/>
  <c r="K54" i="2" s="1"/>
  <c r="E53" i="2"/>
  <c r="F50" i="1"/>
  <c r="K50" i="1" s="1"/>
  <c r="E50" i="1" s="1"/>
  <c r="E49" i="1"/>
  <c r="M63" i="6" l="1"/>
  <c r="H63" i="6"/>
  <c r="I63" i="6" s="1"/>
  <c r="L63" i="6"/>
  <c r="G63" i="6"/>
  <c r="F63" i="6"/>
  <c r="J63" i="6" s="1"/>
  <c r="K63" i="6" s="1"/>
  <c r="E62" i="6"/>
  <c r="G57" i="5"/>
  <c r="F57" i="5"/>
  <c r="M57" i="5"/>
  <c r="L57" i="5"/>
  <c r="H57" i="5"/>
  <c r="I57" i="5" s="1"/>
  <c r="F58" i="4"/>
  <c r="K58" i="4" s="1"/>
  <c r="E58" i="4" s="1"/>
  <c r="L58" i="4"/>
  <c r="M58" i="4"/>
  <c r="E57" i="4"/>
  <c r="F57" i="3"/>
  <c r="M57" i="3"/>
  <c r="L57" i="3"/>
  <c r="H57" i="3"/>
  <c r="I57" i="3" s="1"/>
  <c r="G57" i="3"/>
  <c r="E56" i="3"/>
  <c r="L55" i="2"/>
  <c r="G55" i="2"/>
  <c r="M55" i="2"/>
  <c r="H55" i="2"/>
  <c r="I55" i="2" s="1"/>
  <c r="J55" i="2" s="1"/>
  <c r="K55" i="2" s="1"/>
  <c r="F55" i="2"/>
  <c r="E54" i="2"/>
  <c r="F51" i="1"/>
  <c r="H51" i="1"/>
  <c r="I51" i="1" s="1"/>
  <c r="G51" i="1"/>
  <c r="J57" i="5" l="1"/>
  <c r="K57" i="5" s="1"/>
  <c r="E57" i="5" s="1"/>
  <c r="M64" i="6"/>
  <c r="F64" i="6"/>
  <c r="K64" i="6" s="1"/>
  <c r="L64" i="6"/>
  <c r="E63" i="6"/>
  <c r="G59" i="4"/>
  <c r="F59" i="4"/>
  <c r="H59" i="4"/>
  <c r="I59" i="4" s="1"/>
  <c r="J59" i="4" s="1"/>
  <c r="K59" i="4" s="1"/>
  <c r="M59" i="4"/>
  <c r="L59" i="4"/>
  <c r="J57" i="3"/>
  <c r="K57" i="3" s="1"/>
  <c r="M56" i="2"/>
  <c r="F56" i="2"/>
  <c r="K56" i="2" s="1"/>
  <c r="L56" i="2"/>
  <c r="E55" i="2"/>
  <c r="J51" i="1"/>
  <c r="K51" i="1" s="1"/>
  <c r="L58" i="5" l="1"/>
  <c r="F58" i="5"/>
  <c r="M58" i="5"/>
  <c r="K58" i="5"/>
  <c r="E58" i="5" s="1"/>
  <c r="G65" i="6"/>
  <c r="M65" i="6"/>
  <c r="L65" i="6"/>
  <c r="H65" i="6"/>
  <c r="I65" i="6" s="1"/>
  <c r="J65" i="6" s="1"/>
  <c r="K65" i="6" s="1"/>
  <c r="F65" i="6"/>
  <c r="E64" i="6"/>
  <c r="L60" i="4"/>
  <c r="F60" i="4"/>
  <c r="K60" i="4" s="1"/>
  <c r="M60" i="4"/>
  <c r="E59" i="4"/>
  <c r="M58" i="3"/>
  <c r="L58" i="3"/>
  <c r="F58" i="3"/>
  <c r="K58" i="3" s="1"/>
  <c r="E57" i="3"/>
  <c r="F57" i="2"/>
  <c r="J57" i="2" s="1"/>
  <c r="K57" i="2" s="1"/>
  <c r="M57" i="2"/>
  <c r="L57" i="2"/>
  <c r="G57" i="2"/>
  <c r="H57" i="2"/>
  <c r="I57" i="2" s="1"/>
  <c r="E56" i="2"/>
  <c r="E51" i="1"/>
  <c r="F52" i="1"/>
  <c r="K52" i="1" s="1"/>
  <c r="E52" i="1" s="1"/>
  <c r="L59" i="5" l="1"/>
  <c r="F59" i="5"/>
  <c r="H59" i="5"/>
  <c r="I59" i="5"/>
  <c r="J59" i="5"/>
  <c r="K59" i="5" s="1"/>
  <c r="E59" i="5" s="1"/>
  <c r="M59" i="5"/>
  <c r="G59" i="5"/>
  <c r="F66" i="6"/>
  <c r="M66" i="6"/>
  <c r="L66" i="6"/>
  <c r="K66" i="6"/>
  <c r="E66" i="6"/>
  <c r="E65" i="6"/>
  <c r="H61" i="4"/>
  <c r="I61" i="4" s="1"/>
  <c r="M61" i="4"/>
  <c r="G61" i="4"/>
  <c r="F61" i="4"/>
  <c r="L61" i="4"/>
  <c r="E60" i="4"/>
  <c r="H59" i="3"/>
  <c r="G59" i="3"/>
  <c r="F59" i="3"/>
  <c r="L59" i="3"/>
  <c r="M59" i="3"/>
  <c r="I59" i="3"/>
  <c r="J59" i="3" s="1"/>
  <c r="K59" i="3" s="1"/>
  <c r="E58" i="3"/>
  <c r="L58" i="2"/>
  <c r="M58" i="2"/>
  <c r="F58" i="2"/>
  <c r="K58" i="2" s="1"/>
  <c r="E57" i="2"/>
  <c r="F53" i="1"/>
  <c r="G53" i="1"/>
  <c r="H53" i="1"/>
  <c r="I53" i="1" s="1"/>
  <c r="M60" i="5" l="1"/>
  <c r="F60" i="5"/>
  <c r="K60" i="5" s="1"/>
  <c r="G61" i="5" s="1"/>
  <c r="L60" i="5"/>
  <c r="J61" i="4"/>
  <c r="K61" i="4" s="1"/>
  <c r="G67" i="6"/>
  <c r="F67" i="6"/>
  <c r="L67" i="6"/>
  <c r="M67" i="6"/>
  <c r="H67" i="6"/>
  <c r="I67" i="6" s="1"/>
  <c r="J67" i="6" s="1"/>
  <c r="K67" i="6" s="1"/>
  <c r="L62" i="4"/>
  <c r="M62" i="4"/>
  <c r="F62" i="4"/>
  <c r="K62" i="4" s="1"/>
  <c r="E61" i="4"/>
  <c r="F60" i="3"/>
  <c r="K60" i="3" s="1"/>
  <c r="M60" i="3"/>
  <c r="L60" i="3"/>
  <c r="E59" i="3"/>
  <c r="H59" i="2"/>
  <c r="I59" i="2" s="1"/>
  <c r="G59" i="2"/>
  <c r="F59" i="2"/>
  <c r="J59" i="2" s="1"/>
  <c r="K59" i="2" s="1"/>
  <c r="M59" i="2"/>
  <c r="L59" i="2"/>
  <c r="E58" i="2"/>
  <c r="J53" i="1"/>
  <c r="K53" i="1" s="1"/>
  <c r="E60" i="5" l="1"/>
  <c r="M61" i="5"/>
  <c r="H61" i="5"/>
  <c r="I61" i="5" s="1"/>
  <c r="F61" i="5"/>
  <c r="J61" i="5" s="1"/>
  <c r="K61" i="5" s="1"/>
  <c r="L61" i="5"/>
  <c r="L68" i="6"/>
  <c r="F68" i="6"/>
  <c r="M68" i="6"/>
  <c r="K68" i="6"/>
  <c r="E67" i="6"/>
  <c r="M63" i="4"/>
  <c r="G63" i="4"/>
  <c r="H63" i="4"/>
  <c r="I63" i="4" s="1"/>
  <c r="F63" i="4"/>
  <c r="L63" i="4"/>
  <c r="E62" i="4"/>
  <c r="H61" i="3"/>
  <c r="I61" i="3" s="1"/>
  <c r="F61" i="3"/>
  <c r="J61" i="3" s="1"/>
  <c r="K61" i="3" s="1"/>
  <c r="M61" i="3"/>
  <c r="L61" i="3"/>
  <c r="G61" i="3"/>
  <c r="E60" i="3"/>
  <c r="F60" i="2"/>
  <c r="K60" i="2" s="1"/>
  <c r="M60" i="2"/>
  <c r="L60" i="2"/>
  <c r="E59" i="2"/>
  <c r="E53" i="1"/>
  <c r="F54" i="1"/>
  <c r="K54" i="1" s="1"/>
  <c r="J63" i="4" l="1"/>
  <c r="K63" i="4" s="1"/>
  <c r="H69" i="6"/>
  <c r="I69" i="6" s="1"/>
  <c r="F69" i="6"/>
  <c r="M69" i="6"/>
  <c r="G69" i="6"/>
  <c r="L69" i="6"/>
  <c r="E68" i="6"/>
  <c r="M62" i="5"/>
  <c r="L62" i="5"/>
  <c r="F62" i="5"/>
  <c r="K62" i="5" s="1"/>
  <c r="E61" i="5"/>
  <c r="M64" i="4"/>
  <c r="F64" i="4"/>
  <c r="K64" i="4"/>
  <c r="E64" i="4" s="1"/>
  <c r="L64" i="4"/>
  <c r="E63" i="4"/>
  <c r="M62" i="3"/>
  <c r="L62" i="3"/>
  <c r="F62" i="3"/>
  <c r="K62" i="3" s="1"/>
  <c r="E61" i="3"/>
  <c r="I61" i="2"/>
  <c r="J61" i="2" s="1"/>
  <c r="K61" i="2" s="1"/>
  <c r="H61" i="2"/>
  <c r="M61" i="2"/>
  <c r="G61" i="2"/>
  <c r="F61" i="2"/>
  <c r="L61" i="2"/>
  <c r="E60" i="2"/>
  <c r="G55" i="1"/>
  <c r="H55" i="1"/>
  <c r="I55" i="1" s="1"/>
  <c r="F55" i="1"/>
  <c r="E54" i="1"/>
  <c r="J69" i="6" l="1"/>
  <c r="K69" i="6" s="1"/>
  <c r="M63" i="5"/>
  <c r="L63" i="5"/>
  <c r="G63" i="5"/>
  <c r="H63" i="5"/>
  <c r="I63" i="5" s="1"/>
  <c r="F63" i="5"/>
  <c r="J63" i="5" s="1"/>
  <c r="K63" i="5" s="1"/>
  <c r="E62" i="5"/>
  <c r="G65" i="4"/>
  <c r="M65" i="4"/>
  <c r="L65" i="4"/>
  <c r="H65" i="4"/>
  <c r="I65" i="4" s="1"/>
  <c r="J65" i="4" s="1"/>
  <c r="K65" i="4" s="1"/>
  <c r="F65" i="4"/>
  <c r="L63" i="3"/>
  <c r="H63" i="3"/>
  <c r="F63" i="3"/>
  <c r="J63" i="3" s="1"/>
  <c r="K63" i="3" s="1"/>
  <c r="G63" i="3"/>
  <c r="I63" i="3"/>
  <c r="M63" i="3"/>
  <c r="E62" i="3"/>
  <c r="M62" i="2"/>
  <c r="L62" i="2"/>
  <c r="K62" i="2"/>
  <c r="E62" i="2" s="1"/>
  <c r="F62" i="2"/>
  <c r="E61" i="2"/>
  <c r="J55" i="1"/>
  <c r="K55" i="1" s="1"/>
  <c r="L70" i="6" l="1"/>
  <c r="M70" i="6"/>
  <c r="F70" i="6"/>
  <c r="K70" i="6" s="1"/>
  <c r="E69" i="6"/>
  <c r="M64" i="5"/>
  <c r="L64" i="5"/>
  <c r="F64" i="5"/>
  <c r="K64" i="5" s="1"/>
  <c r="E63" i="5"/>
  <c r="F66" i="4"/>
  <c r="L66" i="4"/>
  <c r="K66" i="4"/>
  <c r="E66" i="4"/>
  <c r="M66" i="4"/>
  <c r="E65" i="4"/>
  <c r="M64" i="3"/>
  <c r="F64" i="3"/>
  <c r="K64" i="3" s="1"/>
  <c r="L64" i="3"/>
  <c r="E63" i="3"/>
  <c r="L63" i="2"/>
  <c r="G63" i="2"/>
  <c r="M63" i="2"/>
  <c r="I63" i="2"/>
  <c r="J63" i="2" s="1"/>
  <c r="K63" i="2" s="1"/>
  <c r="F63" i="2"/>
  <c r="H63" i="2"/>
  <c r="F56" i="1"/>
  <c r="K56" i="1" s="1"/>
  <c r="E55" i="1"/>
  <c r="H57" i="1"/>
  <c r="I57" i="1" s="1"/>
  <c r="F57" i="1"/>
  <c r="G57" i="1"/>
  <c r="E56" i="1"/>
  <c r="M71" i="6" l="1"/>
  <c r="H71" i="6"/>
  <c r="G71" i="6"/>
  <c r="F71" i="6"/>
  <c r="J71" i="6" s="1"/>
  <c r="K71" i="6" s="1"/>
  <c r="I71" i="6"/>
  <c r="L71" i="6"/>
  <c r="E70" i="6"/>
  <c r="G65" i="5"/>
  <c r="F65" i="5"/>
  <c r="M65" i="5"/>
  <c r="L65" i="5"/>
  <c r="H65" i="5"/>
  <c r="I65" i="5" s="1"/>
  <c r="J65" i="5" s="1"/>
  <c r="K65" i="5" s="1"/>
  <c r="E64" i="5"/>
  <c r="G67" i="4"/>
  <c r="F67" i="4"/>
  <c r="M67" i="4"/>
  <c r="L67" i="4"/>
  <c r="H67" i="4"/>
  <c r="I67" i="4" s="1"/>
  <c r="F65" i="3"/>
  <c r="M65" i="3"/>
  <c r="L65" i="3"/>
  <c r="H65" i="3"/>
  <c r="I65" i="3" s="1"/>
  <c r="J65" i="3" s="1"/>
  <c r="K65" i="3" s="1"/>
  <c r="G65" i="3"/>
  <c r="E64" i="3"/>
  <c r="M64" i="2"/>
  <c r="F64" i="2"/>
  <c r="L64" i="2"/>
  <c r="K64" i="2"/>
  <c r="E64" i="2"/>
  <c r="E63" i="2"/>
  <c r="J57" i="1"/>
  <c r="K57" i="1" s="1"/>
  <c r="J67" i="4" l="1"/>
  <c r="K67" i="4" s="1"/>
  <c r="L68" i="4" s="1"/>
  <c r="M72" i="6"/>
  <c r="L72" i="6"/>
  <c r="F72" i="6"/>
  <c r="K72" i="6" s="1"/>
  <c r="E71" i="6"/>
  <c r="F66" i="5"/>
  <c r="M66" i="5"/>
  <c r="L66" i="5"/>
  <c r="K66" i="5"/>
  <c r="E65" i="5"/>
  <c r="E67" i="4"/>
  <c r="M66" i="3"/>
  <c r="L66" i="3"/>
  <c r="F66" i="3"/>
  <c r="K66" i="3" s="1"/>
  <c r="E65" i="3"/>
  <c r="F65" i="2"/>
  <c r="J65" i="2" s="1"/>
  <c r="K65" i="2" s="1"/>
  <c r="M65" i="2"/>
  <c r="L65" i="2"/>
  <c r="H65" i="2"/>
  <c r="I65" i="2" s="1"/>
  <c r="G65" i="2"/>
  <c r="F58" i="1"/>
  <c r="K58" i="1" s="1"/>
  <c r="E57" i="1"/>
  <c r="M68" i="4" l="1"/>
  <c r="F68" i="4"/>
  <c r="K68" i="4" s="1"/>
  <c r="L69" i="4" s="1"/>
  <c r="G73" i="6"/>
  <c r="M73" i="6"/>
  <c r="L73" i="6"/>
  <c r="I73" i="6"/>
  <c r="H73" i="6"/>
  <c r="F73" i="6"/>
  <c r="J73" i="6" s="1"/>
  <c r="K73" i="6" s="1"/>
  <c r="E72" i="6"/>
  <c r="H67" i="5"/>
  <c r="I67" i="5" s="1"/>
  <c r="J67" i="5" s="1"/>
  <c r="K67" i="5" s="1"/>
  <c r="G67" i="5"/>
  <c r="F67" i="5"/>
  <c r="L67" i="5"/>
  <c r="M67" i="5"/>
  <c r="E66" i="5"/>
  <c r="G69" i="4"/>
  <c r="F69" i="4"/>
  <c r="E68" i="4"/>
  <c r="H67" i="3"/>
  <c r="G67" i="3"/>
  <c r="F67" i="3"/>
  <c r="L67" i="3"/>
  <c r="I67" i="3"/>
  <c r="J67" i="3" s="1"/>
  <c r="K67" i="3" s="1"/>
  <c r="M67" i="3"/>
  <c r="E66" i="3"/>
  <c r="L66" i="2"/>
  <c r="F66" i="2"/>
  <c r="M66" i="2"/>
  <c r="K66" i="2"/>
  <c r="E65" i="2"/>
  <c r="F59" i="1"/>
  <c r="G59" i="1"/>
  <c r="H59" i="1"/>
  <c r="I59" i="1" s="1"/>
  <c r="E58" i="1"/>
  <c r="M69" i="4" l="1"/>
  <c r="H69" i="4"/>
  <c r="I69" i="4" s="1"/>
  <c r="J69" i="4" s="1"/>
  <c r="K69" i="4" s="1"/>
  <c r="L70" i="4" s="1"/>
  <c r="F74" i="6"/>
  <c r="M74" i="6"/>
  <c r="L74" i="6"/>
  <c r="K74" i="6"/>
  <c r="E74" i="6"/>
  <c r="E73" i="6"/>
  <c r="L68" i="5"/>
  <c r="F68" i="5"/>
  <c r="K68" i="5" s="1"/>
  <c r="M68" i="5"/>
  <c r="E67" i="5"/>
  <c r="F68" i="3"/>
  <c r="K68" i="3" s="1"/>
  <c r="M68" i="3"/>
  <c r="L68" i="3"/>
  <c r="E67" i="3"/>
  <c r="H67" i="2"/>
  <c r="G67" i="2"/>
  <c r="F67" i="2"/>
  <c r="M67" i="2"/>
  <c r="L67" i="2"/>
  <c r="I67" i="2"/>
  <c r="J67" i="2" s="1"/>
  <c r="K67" i="2" s="1"/>
  <c r="E66" i="2"/>
  <c r="J59" i="1"/>
  <c r="K59" i="1" s="1"/>
  <c r="E69" i="4" l="1"/>
  <c r="M70" i="4"/>
  <c r="F70" i="4"/>
  <c r="K70" i="4" s="1"/>
  <c r="H71" i="4" s="1"/>
  <c r="I71" i="4" s="1"/>
  <c r="G75" i="6"/>
  <c r="F75" i="6"/>
  <c r="L75" i="6"/>
  <c r="H75" i="6"/>
  <c r="I75" i="6" s="1"/>
  <c r="J75" i="6" s="1"/>
  <c r="K75" i="6" s="1"/>
  <c r="M75" i="6"/>
  <c r="H69" i="5"/>
  <c r="I69" i="5" s="1"/>
  <c r="G69" i="5"/>
  <c r="F69" i="5"/>
  <c r="M69" i="5"/>
  <c r="L69" i="5"/>
  <c r="E68" i="5"/>
  <c r="E70" i="4"/>
  <c r="H69" i="3"/>
  <c r="I69" i="3" s="1"/>
  <c r="F69" i="3"/>
  <c r="J69" i="3" s="1"/>
  <c r="K69" i="3" s="1"/>
  <c r="M69" i="3"/>
  <c r="L69" i="3"/>
  <c r="G69" i="3"/>
  <c r="E68" i="3"/>
  <c r="K68" i="2"/>
  <c r="F68" i="2"/>
  <c r="E68" i="2"/>
  <c r="L68" i="2"/>
  <c r="M68" i="2"/>
  <c r="E67" i="2"/>
  <c r="F60" i="1"/>
  <c r="K60" i="1" s="1"/>
  <c r="E60" i="1" s="1"/>
  <c r="E59" i="1"/>
  <c r="J69" i="5" l="1"/>
  <c r="K69" i="5" s="1"/>
  <c r="M71" i="4"/>
  <c r="L71" i="4"/>
  <c r="F71" i="4"/>
  <c r="G71" i="4"/>
  <c r="J71" i="4"/>
  <c r="K71" i="4" s="1"/>
  <c r="F72" i="4" s="1"/>
  <c r="L76" i="6"/>
  <c r="F76" i="6"/>
  <c r="M76" i="6"/>
  <c r="K76" i="6"/>
  <c r="E75" i="6"/>
  <c r="M70" i="5"/>
  <c r="L70" i="5"/>
  <c r="F70" i="5"/>
  <c r="K70" i="5" s="1"/>
  <c r="E69" i="5"/>
  <c r="M72" i="4"/>
  <c r="E71" i="4"/>
  <c r="M70" i="3"/>
  <c r="L70" i="3"/>
  <c r="F70" i="3"/>
  <c r="K70" i="3" s="1"/>
  <c r="E69" i="3"/>
  <c r="H69" i="2"/>
  <c r="I69" i="2" s="1"/>
  <c r="M69" i="2"/>
  <c r="L69" i="2"/>
  <c r="G69" i="2"/>
  <c r="F69" i="2"/>
  <c r="J69" i="2" s="1"/>
  <c r="K69" i="2" s="1"/>
  <c r="G61" i="1"/>
  <c r="H61" i="1"/>
  <c r="I61" i="1" s="1"/>
  <c r="F61" i="1"/>
  <c r="K72" i="4" l="1"/>
  <c r="G73" i="4" s="1"/>
  <c r="L72" i="4"/>
  <c r="H77" i="6"/>
  <c r="I77" i="6" s="1"/>
  <c r="J77" i="6" s="1"/>
  <c r="K77" i="6" s="1"/>
  <c r="F77" i="6"/>
  <c r="M77" i="6"/>
  <c r="L77" i="6"/>
  <c r="G77" i="6"/>
  <c r="E76" i="6"/>
  <c r="M71" i="5"/>
  <c r="L71" i="5"/>
  <c r="H71" i="5"/>
  <c r="I71" i="5" s="1"/>
  <c r="J71" i="5" s="1"/>
  <c r="K71" i="5" s="1"/>
  <c r="G71" i="5"/>
  <c r="F71" i="5"/>
  <c r="E70" i="5"/>
  <c r="M73" i="4"/>
  <c r="L73" i="4"/>
  <c r="H73" i="4"/>
  <c r="I73" i="4" s="1"/>
  <c r="F73" i="4"/>
  <c r="L71" i="3"/>
  <c r="H71" i="3"/>
  <c r="F71" i="3"/>
  <c r="G71" i="3"/>
  <c r="I71" i="3"/>
  <c r="J71" i="3" s="1"/>
  <c r="K71" i="3" s="1"/>
  <c r="M71" i="3"/>
  <c r="E70" i="3"/>
  <c r="M70" i="2"/>
  <c r="L70" i="2"/>
  <c r="F70" i="2"/>
  <c r="K70" i="2" s="1"/>
  <c r="E69" i="2"/>
  <c r="J61" i="1"/>
  <c r="K61" i="1" s="1"/>
  <c r="J73" i="4" l="1"/>
  <c r="K73" i="4" s="1"/>
  <c r="E72" i="4"/>
  <c r="L78" i="6"/>
  <c r="M78" i="6"/>
  <c r="F78" i="6"/>
  <c r="K78" i="6" s="1"/>
  <c r="E77" i="6"/>
  <c r="M72" i="5"/>
  <c r="L72" i="5"/>
  <c r="F72" i="5"/>
  <c r="K72" i="5" s="1"/>
  <c r="E71" i="5"/>
  <c r="F74" i="4"/>
  <c r="L74" i="4"/>
  <c r="M74" i="4"/>
  <c r="K74" i="4"/>
  <c r="E74" i="4"/>
  <c r="E73" i="4"/>
  <c r="M72" i="3"/>
  <c r="F72" i="3"/>
  <c r="K72" i="3" s="1"/>
  <c r="L72" i="3"/>
  <c r="E71" i="3"/>
  <c r="L71" i="2"/>
  <c r="G71" i="2"/>
  <c r="M71" i="2"/>
  <c r="H71" i="2"/>
  <c r="I71" i="2" s="1"/>
  <c r="F71" i="2"/>
  <c r="E70" i="2"/>
  <c r="E61" i="1"/>
  <c r="F62" i="1"/>
  <c r="K62" i="1" s="1"/>
  <c r="E62" i="1" s="1"/>
  <c r="M79" i="6" l="1"/>
  <c r="H79" i="6"/>
  <c r="L79" i="6"/>
  <c r="I79" i="6"/>
  <c r="J79" i="6" s="1"/>
  <c r="K79" i="6" s="1"/>
  <c r="G79" i="6"/>
  <c r="F79" i="6"/>
  <c r="E78" i="6"/>
  <c r="G73" i="5"/>
  <c r="F73" i="5"/>
  <c r="M73" i="5"/>
  <c r="L73" i="5"/>
  <c r="H73" i="5"/>
  <c r="I73" i="5" s="1"/>
  <c r="J73" i="5" s="1"/>
  <c r="K73" i="5" s="1"/>
  <c r="E72" i="5"/>
  <c r="G75" i="4"/>
  <c r="F75" i="4"/>
  <c r="H75" i="4"/>
  <c r="I75" i="4" s="1"/>
  <c r="M75" i="4"/>
  <c r="L75" i="4"/>
  <c r="F73" i="3"/>
  <c r="M73" i="3"/>
  <c r="L73" i="3"/>
  <c r="H73" i="3"/>
  <c r="I73" i="3"/>
  <c r="J73" i="3" s="1"/>
  <c r="K73" i="3" s="1"/>
  <c r="G73" i="3"/>
  <c r="E72" i="3"/>
  <c r="J71" i="2"/>
  <c r="K71" i="2" s="1"/>
  <c r="F63" i="1"/>
  <c r="H63" i="1"/>
  <c r="I63" i="1" s="1"/>
  <c r="G63" i="1"/>
  <c r="M80" i="6" l="1"/>
  <c r="F80" i="6"/>
  <c r="K80" i="6" s="1"/>
  <c r="L80" i="6"/>
  <c r="E79" i="6"/>
  <c r="F74" i="5"/>
  <c r="M74" i="5"/>
  <c r="L74" i="5"/>
  <c r="K74" i="5"/>
  <c r="E73" i="5"/>
  <c r="J75" i="4"/>
  <c r="K75" i="4" s="1"/>
  <c r="M74" i="3"/>
  <c r="L74" i="3"/>
  <c r="F74" i="3"/>
  <c r="K74" i="3" s="1"/>
  <c r="E73" i="3"/>
  <c r="M72" i="2"/>
  <c r="F72" i="2"/>
  <c r="L72" i="2"/>
  <c r="K72" i="2"/>
  <c r="E72" i="2" s="1"/>
  <c r="E71" i="2"/>
  <c r="J63" i="1"/>
  <c r="K63" i="1" s="1"/>
  <c r="G81" i="6" l="1"/>
  <c r="M81" i="6"/>
  <c r="L81" i="6"/>
  <c r="I81" i="6"/>
  <c r="F81" i="6"/>
  <c r="J81" i="6" s="1"/>
  <c r="K81" i="6" s="1"/>
  <c r="H81" i="6"/>
  <c r="E80" i="6"/>
  <c r="H75" i="5"/>
  <c r="I75" i="5" s="1"/>
  <c r="G75" i="5"/>
  <c r="F75" i="5"/>
  <c r="M75" i="5"/>
  <c r="L75" i="5"/>
  <c r="E74" i="5"/>
  <c r="L76" i="4"/>
  <c r="F76" i="4"/>
  <c r="K76" i="4" s="1"/>
  <c r="E76" i="4" s="1"/>
  <c r="M76" i="4"/>
  <c r="E75" i="4"/>
  <c r="H75" i="3"/>
  <c r="G75" i="3"/>
  <c r="F75" i="3"/>
  <c r="L75" i="3"/>
  <c r="M75" i="3"/>
  <c r="I75" i="3"/>
  <c r="J75" i="3" s="1"/>
  <c r="K75" i="3" s="1"/>
  <c r="E74" i="3"/>
  <c r="F73" i="2"/>
  <c r="M73" i="2"/>
  <c r="L73" i="2"/>
  <c r="G73" i="2"/>
  <c r="H73" i="2"/>
  <c r="I73" i="2" s="1"/>
  <c r="F64" i="1"/>
  <c r="K64" i="1" s="1"/>
  <c r="E63" i="1"/>
  <c r="H65" i="1"/>
  <c r="I65" i="1" s="1"/>
  <c r="E64" i="1"/>
  <c r="J75" i="5" l="1"/>
  <c r="K75" i="5" s="1"/>
  <c r="E75" i="5" s="1"/>
  <c r="F82" i="6"/>
  <c r="M82" i="6"/>
  <c r="L82" i="6"/>
  <c r="K82" i="6"/>
  <c r="E81" i="6"/>
  <c r="H77" i="4"/>
  <c r="I77" i="4" s="1"/>
  <c r="M77" i="4"/>
  <c r="G77" i="4"/>
  <c r="L77" i="4"/>
  <c r="F77" i="4"/>
  <c r="J77" i="4" s="1"/>
  <c r="K77" i="4" s="1"/>
  <c r="F76" i="3"/>
  <c r="K76" i="3" s="1"/>
  <c r="M76" i="3"/>
  <c r="L76" i="3"/>
  <c r="E75" i="3"/>
  <c r="J73" i="2"/>
  <c r="K73" i="2" s="1"/>
  <c r="G65" i="1"/>
  <c r="F65" i="1"/>
  <c r="J65" i="1" s="1"/>
  <c r="K65" i="1" s="1"/>
  <c r="M76" i="5" l="1"/>
  <c r="L76" i="5"/>
  <c r="F76" i="5"/>
  <c r="K76" i="5" s="1"/>
  <c r="I83" i="6"/>
  <c r="J83" i="6" s="1"/>
  <c r="K83" i="6" s="1"/>
  <c r="G83" i="6"/>
  <c r="F83" i="6"/>
  <c r="M83" i="6"/>
  <c r="L83" i="6"/>
  <c r="H83" i="6"/>
  <c r="E82" i="6"/>
  <c r="H77" i="5"/>
  <c r="I77" i="5" s="1"/>
  <c r="F77" i="5"/>
  <c r="G77" i="5"/>
  <c r="M77" i="5"/>
  <c r="L77" i="5"/>
  <c r="E76" i="5"/>
  <c r="L78" i="4"/>
  <c r="M78" i="4"/>
  <c r="F78" i="4"/>
  <c r="K78" i="4" s="1"/>
  <c r="E77" i="4"/>
  <c r="H77" i="3"/>
  <c r="I77" i="3" s="1"/>
  <c r="F77" i="3"/>
  <c r="J77" i="3" s="1"/>
  <c r="K77" i="3" s="1"/>
  <c r="L77" i="3"/>
  <c r="M77" i="3"/>
  <c r="G77" i="3"/>
  <c r="E76" i="3"/>
  <c r="L74" i="2"/>
  <c r="M74" i="2"/>
  <c r="F74" i="2"/>
  <c r="K74" i="2" s="1"/>
  <c r="E73" i="2"/>
  <c r="E65" i="1"/>
  <c r="F66" i="1"/>
  <c r="K66" i="1" s="1"/>
  <c r="E66" i="1" s="1"/>
  <c r="L84" i="6" l="1"/>
  <c r="F84" i="6"/>
  <c r="K84" i="6"/>
  <c r="E84" i="6" s="1"/>
  <c r="M84" i="6"/>
  <c r="E83" i="6"/>
  <c r="J77" i="5"/>
  <c r="K77" i="5" s="1"/>
  <c r="M79" i="4"/>
  <c r="G79" i="4"/>
  <c r="L79" i="4"/>
  <c r="H79" i="4"/>
  <c r="I79" i="4" s="1"/>
  <c r="J79" i="4" s="1"/>
  <c r="K79" i="4" s="1"/>
  <c r="F79" i="4"/>
  <c r="E78" i="4"/>
  <c r="M78" i="3"/>
  <c r="L78" i="3"/>
  <c r="F78" i="3"/>
  <c r="K78" i="3" s="1"/>
  <c r="E77" i="3"/>
  <c r="H75" i="2"/>
  <c r="G75" i="2"/>
  <c r="F75" i="2"/>
  <c r="J75" i="2" s="1"/>
  <c r="K75" i="2" s="1"/>
  <c r="I75" i="2"/>
  <c r="M75" i="2"/>
  <c r="L75" i="2"/>
  <c r="E74" i="2"/>
  <c r="H67" i="1"/>
  <c r="I67" i="1" s="1"/>
  <c r="J67" i="1" s="1"/>
  <c r="K67" i="1" s="1"/>
  <c r="F67" i="1"/>
  <c r="G67" i="1"/>
  <c r="H85" i="6" l="1"/>
  <c r="I85" i="6" s="1"/>
  <c r="G85" i="6"/>
  <c r="F85" i="6"/>
  <c r="J85" i="6" s="1"/>
  <c r="K85" i="6" s="1"/>
  <c r="M85" i="6"/>
  <c r="L85" i="6"/>
  <c r="M78" i="5"/>
  <c r="L78" i="5"/>
  <c r="F78" i="5"/>
  <c r="K78" i="5" s="1"/>
  <c r="E77" i="5"/>
  <c r="M80" i="4"/>
  <c r="F80" i="4"/>
  <c r="L80" i="4"/>
  <c r="K80" i="4"/>
  <c r="E80" i="4"/>
  <c r="E79" i="4"/>
  <c r="L79" i="3"/>
  <c r="H79" i="3"/>
  <c r="F79" i="3"/>
  <c r="J79" i="3" s="1"/>
  <c r="K79" i="3" s="1"/>
  <c r="G79" i="3"/>
  <c r="M79" i="3"/>
  <c r="I79" i="3"/>
  <c r="E78" i="3"/>
  <c r="K76" i="2"/>
  <c r="F76" i="2"/>
  <c r="M76" i="2"/>
  <c r="L76" i="2"/>
  <c r="E75" i="2"/>
  <c r="F68" i="1"/>
  <c r="K68" i="1" s="1"/>
  <c r="E68" i="1" s="1"/>
  <c r="E67" i="1"/>
  <c r="M86" i="6" l="1"/>
  <c r="L86" i="6"/>
  <c r="F86" i="6"/>
  <c r="K86" i="6" s="1"/>
  <c r="E85" i="6"/>
  <c r="M79" i="5"/>
  <c r="L79" i="5"/>
  <c r="I79" i="5"/>
  <c r="H79" i="5"/>
  <c r="G79" i="5"/>
  <c r="F79" i="5"/>
  <c r="J79" i="5" s="1"/>
  <c r="K79" i="5" s="1"/>
  <c r="E78" i="5"/>
  <c r="G81" i="4"/>
  <c r="M81" i="4"/>
  <c r="L81" i="4"/>
  <c r="H81" i="4"/>
  <c r="I81" i="4" s="1"/>
  <c r="J81" i="4" s="1"/>
  <c r="K81" i="4" s="1"/>
  <c r="F81" i="4"/>
  <c r="M80" i="3"/>
  <c r="F80" i="3"/>
  <c r="K80" i="3" s="1"/>
  <c r="L80" i="3"/>
  <c r="E79" i="3"/>
  <c r="H77" i="2"/>
  <c r="I77" i="2" s="1"/>
  <c r="J77" i="2" s="1"/>
  <c r="K77" i="2" s="1"/>
  <c r="M77" i="2"/>
  <c r="G77" i="2"/>
  <c r="F77" i="2"/>
  <c r="L77" i="2"/>
  <c r="E76" i="2"/>
  <c r="G69" i="1"/>
  <c r="F69" i="1"/>
  <c r="H69" i="1"/>
  <c r="I69" i="1" s="1"/>
  <c r="J69" i="1" s="1"/>
  <c r="K69" i="1" s="1"/>
  <c r="E69" i="1" s="1"/>
  <c r="M87" i="6" l="1"/>
  <c r="L87" i="6"/>
  <c r="H87" i="6"/>
  <c r="I87" i="6" s="1"/>
  <c r="J87" i="6" s="1"/>
  <c r="K87" i="6" s="1"/>
  <c r="G87" i="6"/>
  <c r="F87" i="6"/>
  <c r="E86" i="6"/>
  <c r="M80" i="5"/>
  <c r="L80" i="5"/>
  <c r="F80" i="5"/>
  <c r="K80" i="5" s="1"/>
  <c r="E79" i="5"/>
  <c r="F82" i="4"/>
  <c r="L82" i="4"/>
  <c r="K82" i="4"/>
  <c r="E82" i="4"/>
  <c r="M82" i="4"/>
  <c r="E81" i="4"/>
  <c r="F81" i="3"/>
  <c r="M81" i="3"/>
  <c r="L81" i="3"/>
  <c r="H81" i="3"/>
  <c r="I81" i="3" s="1"/>
  <c r="J81" i="3" s="1"/>
  <c r="K81" i="3" s="1"/>
  <c r="G81" i="3"/>
  <c r="E80" i="3"/>
  <c r="M78" i="2"/>
  <c r="L78" i="2"/>
  <c r="F78" i="2"/>
  <c r="K78" i="2" s="1"/>
  <c r="E77" i="2"/>
  <c r="F70" i="1"/>
  <c r="K70" i="1" s="1"/>
  <c r="M88" i="6" l="1"/>
  <c r="L88" i="6"/>
  <c r="K88" i="6"/>
  <c r="F88" i="6"/>
  <c r="E88" i="6"/>
  <c r="E87" i="6"/>
  <c r="G81" i="5"/>
  <c r="F81" i="5"/>
  <c r="M81" i="5"/>
  <c r="L81" i="5"/>
  <c r="H81" i="5"/>
  <c r="I81" i="5" s="1"/>
  <c r="J81" i="5" s="1"/>
  <c r="K81" i="5" s="1"/>
  <c r="E80" i="5"/>
  <c r="G83" i="4"/>
  <c r="F83" i="4"/>
  <c r="M83" i="4"/>
  <c r="L83" i="4"/>
  <c r="H83" i="4"/>
  <c r="I83" i="4" s="1"/>
  <c r="M82" i="3"/>
  <c r="L82" i="3"/>
  <c r="F82" i="3"/>
  <c r="K82" i="3" s="1"/>
  <c r="E81" i="3"/>
  <c r="L79" i="2"/>
  <c r="G79" i="2"/>
  <c r="M79" i="2"/>
  <c r="H79" i="2"/>
  <c r="I79" i="2" s="1"/>
  <c r="F79" i="2"/>
  <c r="J79" i="2" s="1"/>
  <c r="K79" i="2" s="1"/>
  <c r="E78" i="2"/>
  <c r="G71" i="1"/>
  <c r="H71" i="1"/>
  <c r="I71" i="1" s="1"/>
  <c r="F71" i="1"/>
  <c r="E70" i="1"/>
  <c r="J83" i="4" l="1"/>
  <c r="K83" i="4" s="1"/>
  <c r="L84" i="4" s="1"/>
  <c r="G89" i="6"/>
  <c r="F89" i="6"/>
  <c r="M89" i="6"/>
  <c r="L89" i="6"/>
  <c r="I89" i="6"/>
  <c r="J89" i="6" s="1"/>
  <c r="K89" i="6" s="1"/>
  <c r="H89" i="6"/>
  <c r="F82" i="5"/>
  <c r="M82" i="5"/>
  <c r="L82" i="5"/>
  <c r="K82" i="5"/>
  <c r="E81" i="5"/>
  <c r="E83" i="4"/>
  <c r="H83" i="3"/>
  <c r="G83" i="3"/>
  <c r="F83" i="3"/>
  <c r="L83" i="3"/>
  <c r="M83" i="3"/>
  <c r="I83" i="3"/>
  <c r="J83" i="3" s="1"/>
  <c r="K83" i="3" s="1"/>
  <c r="E82" i="3"/>
  <c r="M80" i="2"/>
  <c r="F80" i="2"/>
  <c r="L80" i="2"/>
  <c r="K80" i="2"/>
  <c r="E80" i="2"/>
  <c r="E79" i="2"/>
  <c r="J71" i="1"/>
  <c r="K71" i="1" s="1"/>
  <c r="E71" i="1" s="1"/>
  <c r="K84" i="4" l="1"/>
  <c r="M84" i="4"/>
  <c r="F84" i="4"/>
  <c r="F90" i="6"/>
  <c r="M90" i="6"/>
  <c r="L90" i="6"/>
  <c r="K90" i="6"/>
  <c r="E89" i="6"/>
  <c r="I83" i="5"/>
  <c r="J83" i="5" s="1"/>
  <c r="K83" i="5" s="1"/>
  <c r="H83" i="5"/>
  <c r="G83" i="5"/>
  <c r="F83" i="5"/>
  <c r="M83" i="5"/>
  <c r="L83" i="5"/>
  <c r="E82" i="5"/>
  <c r="H85" i="4"/>
  <c r="I85" i="4" s="1"/>
  <c r="M85" i="4"/>
  <c r="L85" i="4"/>
  <c r="G85" i="4"/>
  <c r="F85" i="4"/>
  <c r="E84" i="4"/>
  <c r="F84" i="3"/>
  <c r="K84" i="3" s="1"/>
  <c r="M84" i="3"/>
  <c r="L84" i="3"/>
  <c r="E83" i="3"/>
  <c r="F81" i="2"/>
  <c r="M81" i="2"/>
  <c r="L81" i="2"/>
  <c r="H81" i="2"/>
  <c r="I81" i="2" s="1"/>
  <c r="J81" i="2" s="1"/>
  <c r="K81" i="2" s="1"/>
  <c r="G81" i="2"/>
  <c r="F72" i="1"/>
  <c r="K72" i="1" s="1"/>
  <c r="H91" i="6" l="1"/>
  <c r="I91" i="6" s="1"/>
  <c r="G91" i="6"/>
  <c r="F91" i="6"/>
  <c r="M91" i="6"/>
  <c r="L91" i="6"/>
  <c r="E90" i="6"/>
  <c r="L84" i="5"/>
  <c r="F84" i="5"/>
  <c r="K84" i="5" s="1"/>
  <c r="M84" i="5"/>
  <c r="E83" i="5"/>
  <c r="J85" i="4"/>
  <c r="K85" i="4" s="1"/>
  <c r="H85" i="3"/>
  <c r="I85" i="3" s="1"/>
  <c r="F85" i="3"/>
  <c r="J85" i="3" s="1"/>
  <c r="K85" i="3" s="1"/>
  <c r="L85" i="3"/>
  <c r="M85" i="3"/>
  <c r="G85" i="3"/>
  <c r="E84" i="3"/>
  <c r="L82" i="2"/>
  <c r="K82" i="2"/>
  <c r="M82" i="2"/>
  <c r="F82" i="2"/>
  <c r="E81" i="2"/>
  <c r="G73" i="1"/>
  <c r="F73" i="1"/>
  <c r="H73" i="1"/>
  <c r="I73" i="1" s="1"/>
  <c r="J73" i="1" s="1"/>
  <c r="K73" i="1" s="1"/>
  <c r="E72" i="1"/>
  <c r="J91" i="6" l="1"/>
  <c r="K91" i="6" s="1"/>
  <c r="F85" i="5"/>
  <c r="H85" i="5"/>
  <c r="I85" i="5" s="1"/>
  <c r="J85" i="5" s="1"/>
  <c r="K85" i="5" s="1"/>
  <c r="G85" i="5"/>
  <c r="M85" i="5"/>
  <c r="L85" i="5"/>
  <c r="E84" i="5"/>
  <c r="L86" i="4"/>
  <c r="M86" i="4"/>
  <c r="F86" i="4"/>
  <c r="K86" i="4" s="1"/>
  <c r="E85" i="4"/>
  <c r="M86" i="3"/>
  <c r="L86" i="3"/>
  <c r="F86" i="3"/>
  <c r="K86" i="3" s="1"/>
  <c r="E85" i="3"/>
  <c r="H83" i="2"/>
  <c r="G83" i="2"/>
  <c r="F83" i="2"/>
  <c r="M83" i="2"/>
  <c r="L83" i="2"/>
  <c r="I83" i="2"/>
  <c r="J83" i="2" s="1"/>
  <c r="K83" i="2" s="1"/>
  <c r="E82" i="2"/>
  <c r="F74" i="1"/>
  <c r="K74" i="1" s="1"/>
  <c r="E74" i="1"/>
  <c r="E73" i="1"/>
  <c r="L92" i="6" l="1"/>
  <c r="F92" i="6"/>
  <c r="K92" i="6" s="1"/>
  <c r="M92" i="6"/>
  <c r="E91" i="6"/>
  <c r="M86" i="5"/>
  <c r="L86" i="5"/>
  <c r="F86" i="5"/>
  <c r="K86" i="5" s="1"/>
  <c r="E85" i="5"/>
  <c r="M87" i="4"/>
  <c r="G87" i="4"/>
  <c r="F87" i="4"/>
  <c r="L87" i="4"/>
  <c r="I87" i="4"/>
  <c r="H87" i="4"/>
  <c r="E86" i="4"/>
  <c r="L87" i="3"/>
  <c r="H87" i="3"/>
  <c r="G87" i="3"/>
  <c r="F87" i="3"/>
  <c r="J87" i="3" s="1"/>
  <c r="K87" i="3" s="1"/>
  <c r="M87" i="3"/>
  <c r="I87" i="3"/>
  <c r="E86" i="3"/>
  <c r="F84" i="2"/>
  <c r="K84" i="2" s="1"/>
  <c r="M84" i="2"/>
  <c r="L84" i="2"/>
  <c r="E83" i="2"/>
  <c r="F75" i="1"/>
  <c r="H75" i="1"/>
  <c r="I75" i="1" s="1"/>
  <c r="J75" i="1" s="1"/>
  <c r="K75" i="1" s="1"/>
  <c r="G75" i="1"/>
  <c r="J87" i="4" l="1"/>
  <c r="K87" i="4" s="1"/>
  <c r="H93" i="6"/>
  <c r="I93" i="6" s="1"/>
  <c r="G93" i="6"/>
  <c r="F93" i="6"/>
  <c r="M93" i="6"/>
  <c r="L93" i="6"/>
  <c r="E92" i="6"/>
  <c r="M87" i="5"/>
  <c r="L87" i="5"/>
  <c r="H87" i="5"/>
  <c r="I87" i="5" s="1"/>
  <c r="G87" i="5"/>
  <c r="F87" i="5"/>
  <c r="E86" i="5"/>
  <c r="M88" i="4"/>
  <c r="F88" i="4"/>
  <c r="K88" i="4"/>
  <c r="E88" i="4" s="1"/>
  <c r="L88" i="4"/>
  <c r="E87" i="4"/>
  <c r="M88" i="3"/>
  <c r="F88" i="3"/>
  <c r="K88" i="3" s="1"/>
  <c r="L88" i="3"/>
  <c r="E87" i="3"/>
  <c r="H85" i="2"/>
  <c r="I85" i="2" s="1"/>
  <c r="G85" i="2"/>
  <c r="M85" i="2"/>
  <c r="L85" i="2"/>
  <c r="F85" i="2"/>
  <c r="J85" i="2" s="1"/>
  <c r="K85" i="2" s="1"/>
  <c r="E84" i="2"/>
  <c r="F76" i="1"/>
  <c r="K76" i="1" s="1"/>
  <c r="E75" i="1"/>
  <c r="J93" i="6" l="1"/>
  <c r="K93" i="6" s="1"/>
  <c r="J87" i="5"/>
  <c r="K87" i="5" s="1"/>
  <c r="G89" i="4"/>
  <c r="M89" i="4"/>
  <c r="L89" i="4"/>
  <c r="H89" i="4"/>
  <c r="I89" i="4" s="1"/>
  <c r="F89" i="4"/>
  <c r="F89" i="3"/>
  <c r="M89" i="3"/>
  <c r="L89" i="3"/>
  <c r="H89" i="3"/>
  <c r="I89" i="3"/>
  <c r="J89" i="3" s="1"/>
  <c r="K89" i="3" s="1"/>
  <c r="G89" i="3"/>
  <c r="E88" i="3"/>
  <c r="M86" i="2"/>
  <c r="L86" i="2"/>
  <c r="F86" i="2"/>
  <c r="K86" i="2" s="1"/>
  <c r="E85" i="2"/>
  <c r="F77" i="1"/>
  <c r="G77" i="1"/>
  <c r="H77" i="1"/>
  <c r="I77" i="1"/>
  <c r="J77" i="1" s="1"/>
  <c r="K77" i="1" s="1"/>
  <c r="E77" i="1" s="1"/>
  <c r="E76" i="1"/>
  <c r="J89" i="4" l="1"/>
  <c r="K89" i="4" s="1"/>
  <c r="M94" i="6"/>
  <c r="L94" i="6"/>
  <c r="K94" i="6"/>
  <c r="F94" i="6"/>
  <c r="E94" i="6"/>
  <c r="E93" i="6"/>
  <c r="M88" i="5"/>
  <c r="L88" i="5"/>
  <c r="F88" i="5"/>
  <c r="K88" i="5" s="1"/>
  <c r="E87" i="5"/>
  <c r="F90" i="4"/>
  <c r="L90" i="4"/>
  <c r="K90" i="4"/>
  <c r="M90" i="4"/>
  <c r="E90" i="4"/>
  <c r="E89" i="4"/>
  <c r="M90" i="3"/>
  <c r="L90" i="3"/>
  <c r="F90" i="3"/>
  <c r="K90" i="3" s="1"/>
  <c r="E89" i="3"/>
  <c r="L87" i="2"/>
  <c r="I87" i="2"/>
  <c r="G87" i="2"/>
  <c r="F87" i="2"/>
  <c r="J87" i="2" s="1"/>
  <c r="K87" i="2" s="1"/>
  <c r="M87" i="2"/>
  <c r="H87" i="2"/>
  <c r="E86" i="2"/>
  <c r="F78" i="1"/>
  <c r="K78" i="1" s="1"/>
  <c r="M95" i="6" l="1"/>
  <c r="E95" i="6"/>
  <c r="L95" i="6"/>
  <c r="K95" i="6"/>
  <c r="J95" i="6"/>
  <c r="I95" i="6"/>
  <c r="H95" i="6"/>
  <c r="G95" i="6"/>
  <c r="F95" i="6"/>
  <c r="G89" i="5"/>
  <c r="F89" i="5"/>
  <c r="M89" i="5"/>
  <c r="L89" i="5"/>
  <c r="I89" i="5"/>
  <c r="J89" i="5" s="1"/>
  <c r="K89" i="5" s="1"/>
  <c r="H89" i="5"/>
  <c r="E88" i="5"/>
  <c r="G91" i="4"/>
  <c r="F91" i="4"/>
  <c r="H91" i="4"/>
  <c r="I91" i="4" s="1"/>
  <c r="J91" i="4" s="1"/>
  <c r="K91" i="4" s="1"/>
  <c r="M91" i="4"/>
  <c r="L91" i="4"/>
  <c r="H91" i="3"/>
  <c r="G91" i="3"/>
  <c r="F91" i="3"/>
  <c r="L91" i="3"/>
  <c r="M91" i="3"/>
  <c r="I91" i="3"/>
  <c r="J91" i="3" s="1"/>
  <c r="K91" i="3" s="1"/>
  <c r="E90" i="3"/>
  <c r="M88" i="2"/>
  <c r="L88" i="2"/>
  <c r="F88" i="2"/>
  <c r="K88" i="2"/>
  <c r="E87" i="2"/>
  <c r="F79" i="1"/>
  <c r="G79" i="1"/>
  <c r="H79" i="1"/>
  <c r="I79" i="1" s="1"/>
  <c r="E78" i="1"/>
  <c r="M96" i="6" l="1"/>
  <c r="L96" i="6"/>
  <c r="K96" i="6"/>
  <c r="F96" i="6"/>
  <c r="E96" i="6"/>
  <c r="F90" i="5"/>
  <c r="M90" i="5"/>
  <c r="L90" i="5"/>
  <c r="K90" i="5"/>
  <c r="E89" i="5"/>
  <c r="L92" i="4"/>
  <c r="F92" i="4"/>
  <c r="M92" i="4"/>
  <c r="K92" i="4"/>
  <c r="E91" i="4"/>
  <c r="F92" i="3"/>
  <c r="K92" i="3" s="1"/>
  <c r="M92" i="3"/>
  <c r="L92" i="3"/>
  <c r="E91" i="3"/>
  <c r="F89" i="2"/>
  <c r="M89" i="2"/>
  <c r="L89" i="2"/>
  <c r="I89" i="2"/>
  <c r="J89" i="2" s="1"/>
  <c r="K89" i="2" s="1"/>
  <c r="H89" i="2"/>
  <c r="G89" i="2"/>
  <c r="E88" i="2"/>
  <c r="J79" i="1"/>
  <c r="K79" i="1" s="1"/>
  <c r="E79" i="1" s="1"/>
  <c r="G99" i="6" l="1"/>
  <c r="E99" i="6"/>
  <c r="H91" i="5"/>
  <c r="I91" i="5" s="1"/>
  <c r="G91" i="5"/>
  <c r="F91" i="5"/>
  <c r="J91" i="5" s="1"/>
  <c r="K91" i="5" s="1"/>
  <c r="L91" i="5"/>
  <c r="M91" i="5"/>
  <c r="E90" i="5"/>
  <c r="H93" i="4"/>
  <c r="I93" i="4" s="1"/>
  <c r="M93" i="4"/>
  <c r="L93" i="4"/>
  <c r="G93" i="4"/>
  <c r="F93" i="4"/>
  <c r="E92" i="4"/>
  <c r="I93" i="3"/>
  <c r="H93" i="3"/>
  <c r="F93" i="3"/>
  <c r="J93" i="3" s="1"/>
  <c r="K93" i="3" s="1"/>
  <c r="L93" i="3"/>
  <c r="M93" i="3"/>
  <c r="G93" i="3"/>
  <c r="E92" i="3"/>
  <c r="L90" i="2"/>
  <c r="K90" i="2"/>
  <c r="M90" i="2"/>
  <c r="F90" i="2"/>
  <c r="E89" i="2"/>
  <c r="F80" i="1"/>
  <c r="K80" i="1" s="1"/>
  <c r="E80" i="1" s="1"/>
  <c r="G81" i="1"/>
  <c r="J93" i="4" l="1"/>
  <c r="K93" i="4" s="1"/>
  <c r="G100" i="6"/>
  <c r="E100" i="6"/>
  <c r="L92" i="5"/>
  <c r="F92" i="5"/>
  <c r="K92" i="5" s="1"/>
  <c r="M92" i="5"/>
  <c r="E91" i="5"/>
  <c r="L94" i="4"/>
  <c r="K94" i="4"/>
  <c r="F94" i="4"/>
  <c r="E94" i="4"/>
  <c r="M94" i="4"/>
  <c r="E93" i="4"/>
  <c r="M94" i="3"/>
  <c r="L94" i="3"/>
  <c r="K94" i="3"/>
  <c r="E94" i="3"/>
  <c r="F94" i="3"/>
  <c r="E93" i="3"/>
  <c r="H91" i="2"/>
  <c r="G91" i="2"/>
  <c r="F91" i="2"/>
  <c r="M91" i="2"/>
  <c r="I91" i="2"/>
  <c r="J91" i="2" s="1"/>
  <c r="K91" i="2" s="1"/>
  <c r="L91" i="2"/>
  <c r="E90" i="2"/>
  <c r="F81" i="1"/>
  <c r="H81" i="1"/>
  <c r="I81" i="1" s="1"/>
  <c r="J81" i="1" s="1"/>
  <c r="K81" i="1" s="1"/>
  <c r="G101" i="6" l="1"/>
  <c r="E101" i="6"/>
  <c r="H93" i="5"/>
  <c r="I93" i="5" s="1"/>
  <c r="J93" i="5" s="1"/>
  <c r="K93" i="5" s="1"/>
  <c r="F93" i="5"/>
  <c r="G93" i="5"/>
  <c r="M93" i="5"/>
  <c r="L93" i="5"/>
  <c r="E92" i="5"/>
  <c r="M95" i="4"/>
  <c r="E95" i="4"/>
  <c r="K95" i="4"/>
  <c r="G95" i="4"/>
  <c r="F95" i="4"/>
  <c r="H95" i="4"/>
  <c r="I95" i="4" s="1"/>
  <c r="L95" i="4"/>
  <c r="L95" i="3"/>
  <c r="K95" i="3"/>
  <c r="J95" i="3"/>
  <c r="H95" i="3"/>
  <c r="G95" i="3"/>
  <c r="F95" i="3"/>
  <c r="E95" i="3"/>
  <c r="I95" i="3"/>
  <c r="M95" i="3"/>
  <c r="F92" i="2"/>
  <c r="K92" i="2" s="1"/>
  <c r="M92" i="2"/>
  <c r="L92" i="2"/>
  <c r="E91" i="2"/>
  <c r="E81" i="1"/>
  <c r="F82" i="1"/>
  <c r="K82" i="1" s="1"/>
  <c r="J95" i="4" l="1"/>
  <c r="G102" i="6"/>
  <c r="E102" i="6"/>
  <c r="M94" i="5"/>
  <c r="L94" i="5"/>
  <c r="K94" i="5"/>
  <c r="E94" i="5"/>
  <c r="F94" i="5"/>
  <c r="E93" i="5"/>
  <c r="M96" i="4"/>
  <c r="F96" i="4"/>
  <c r="L96" i="4"/>
  <c r="K96" i="4"/>
  <c r="E96" i="4" s="1"/>
  <c r="M96" i="3"/>
  <c r="K96" i="3"/>
  <c r="E96" i="3"/>
  <c r="F96" i="3"/>
  <c r="L96" i="3"/>
  <c r="H93" i="2"/>
  <c r="I93" i="2" s="1"/>
  <c r="G93" i="2"/>
  <c r="M93" i="2"/>
  <c r="L93" i="2"/>
  <c r="F93" i="2"/>
  <c r="J93" i="2" s="1"/>
  <c r="K93" i="2" s="1"/>
  <c r="E92" i="2"/>
  <c r="E82" i="1"/>
  <c r="H83" i="1"/>
  <c r="I83" i="1" s="1"/>
  <c r="G83" i="1"/>
  <c r="F83" i="1"/>
  <c r="G103" i="6" l="1"/>
  <c r="E103" i="6"/>
  <c r="M95" i="5"/>
  <c r="E95" i="5"/>
  <c r="L95" i="5"/>
  <c r="K95" i="5"/>
  <c r="J95" i="5"/>
  <c r="H95" i="5"/>
  <c r="I95" i="5"/>
  <c r="G95" i="5"/>
  <c r="F95" i="5"/>
  <c r="E99" i="4"/>
  <c r="G99" i="4"/>
  <c r="G99" i="3"/>
  <c r="E99" i="3"/>
  <c r="M94" i="2"/>
  <c r="L94" i="2"/>
  <c r="K94" i="2"/>
  <c r="F94" i="2"/>
  <c r="E94" i="2"/>
  <c r="E93" i="2"/>
  <c r="J83" i="1"/>
  <c r="K83" i="1" s="1"/>
  <c r="F84" i="1"/>
  <c r="K84" i="1" s="1"/>
  <c r="G104" i="6" l="1"/>
  <c r="E104" i="6"/>
  <c r="M96" i="5"/>
  <c r="K96" i="5"/>
  <c r="L96" i="5"/>
  <c r="F96" i="5"/>
  <c r="E96" i="5"/>
  <c r="E100" i="4"/>
  <c r="G100" i="4"/>
  <c r="G100" i="3"/>
  <c r="E100" i="3"/>
  <c r="L95" i="2"/>
  <c r="K95" i="2"/>
  <c r="J95" i="2"/>
  <c r="I95" i="2"/>
  <c r="G95" i="2"/>
  <c r="F95" i="2"/>
  <c r="M95" i="2"/>
  <c r="H95" i="2"/>
  <c r="E95" i="2"/>
  <c r="E83" i="1"/>
  <c r="E84" i="1"/>
  <c r="H85" i="1"/>
  <c r="I85" i="1" s="1"/>
  <c r="J85" i="1" s="1"/>
  <c r="K85" i="1" s="1"/>
  <c r="F85" i="1"/>
  <c r="G85" i="1"/>
  <c r="E105" i="6" l="1"/>
  <c r="F105" i="6"/>
  <c r="G105" i="6" s="1"/>
  <c r="E1" i="6" s="1"/>
  <c r="G99" i="5"/>
  <c r="E99" i="5"/>
  <c r="E101" i="4"/>
  <c r="G101" i="4"/>
  <c r="G101" i="3"/>
  <c r="E101" i="3"/>
  <c r="M96" i="2"/>
  <c r="L96" i="2"/>
  <c r="F96" i="2"/>
  <c r="E96" i="2"/>
  <c r="K96" i="2"/>
  <c r="F86" i="1"/>
  <c r="K86" i="1" s="1"/>
  <c r="E86" i="1" s="1"/>
  <c r="E85" i="1"/>
  <c r="G100" i="5" l="1"/>
  <c r="E100" i="5"/>
  <c r="E102" i="4"/>
  <c r="G102" i="4"/>
  <c r="G102" i="3"/>
  <c r="E102" i="3"/>
  <c r="G99" i="2"/>
  <c r="E99" i="2"/>
  <c r="G87" i="1"/>
  <c r="H87" i="1"/>
  <c r="I87" i="1" s="1"/>
  <c r="F87" i="1"/>
  <c r="G101" i="5" l="1"/>
  <c r="E101" i="5"/>
  <c r="E103" i="4"/>
  <c r="G103" i="4"/>
  <c r="G103" i="3"/>
  <c r="E103" i="3"/>
  <c r="E100" i="2"/>
  <c r="G100" i="2"/>
  <c r="J87" i="1"/>
  <c r="K87" i="1" s="1"/>
  <c r="G102" i="5" l="1"/>
  <c r="E102" i="5"/>
  <c r="E104" i="4"/>
  <c r="G104" i="4"/>
  <c r="G104" i="3"/>
  <c r="E104" i="3"/>
  <c r="G101" i="2"/>
  <c r="E101" i="2"/>
  <c r="F88" i="1"/>
  <c r="K88" i="1" s="1"/>
  <c r="E88" i="1" s="1"/>
  <c r="E87" i="1"/>
  <c r="G103" i="5" l="1"/>
  <c r="E103" i="5"/>
  <c r="E105" i="4"/>
  <c r="F105" i="4"/>
  <c r="G105" i="4" s="1"/>
  <c r="E1" i="4" s="1"/>
  <c r="E105" i="3"/>
  <c r="F105" i="3"/>
  <c r="G105" i="3" s="1"/>
  <c r="E1" i="3" s="1"/>
  <c r="E102" i="2"/>
  <c r="G102" i="2"/>
  <c r="H89" i="1"/>
  <c r="I89" i="1" s="1"/>
  <c r="F89" i="1"/>
  <c r="G89" i="1"/>
  <c r="G104" i="5" l="1"/>
  <c r="E104" i="5"/>
  <c r="G103" i="2"/>
  <c r="E103" i="2"/>
  <c r="J89" i="1"/>
  <c r="K89" i="1" s="1"/>
  <c r="E89" i="1" s="1"/>
  <c r="E105" i="5" l="1"/>
  <c r="F105" i="5"/>
  <c r="G105" i="5" s="1"/>
  <c r="E1" i="5" s="1"/>
  <c r="E104" i="2"/>
  <c r="G104" i="2"/>
  <c r="F90" i="1"/>
  <c r="K90" i="1" s="1"/>
  <c r="E90" i="1"/>
  <c r="F91" i="1"/>
  <c r="G91" i="1"/>
  <c r="H91" i="1"/>
  <c r="I91" i="1" s="1"/>
  <c r="J91" i="1" s="1"/>
  <c r="K91" i="1" s="1"/>
  <c r="E105" i="2" l="1"/>
  <c r="F105" i="2"/>
  <c r="G105" i="2" s="1"/>
  <c r="E1" i="2" s="1"/>
  <c r="F92" i="1"/>
  <c r="K92" i="1" s="1"/>
  <c r="E91" i="1"/>
  <c r="F93" i="1" l="1"/>
  <c r="G93" i="1"/>
  <c r="H93" i="1"/>
  <c r="I93" i="1" s="1"/>
  <c r="J93" i="1" s="1"/>
  <c r="K93" i="1" s="1"/>
  <c r="E92" i="1"/>
  <c r="F94" i="1" l="1"/>
  <c r="K94" i="1"/>
  <c r="E93" i="1"/>
  <c r="F95" i="1" l="1"/>
  <c r="I95" i="1"/>
  <c r="J95" i="1" s="1"/>
  <c r="K95" i="1" s="1"/>
  <c r="G95" i="1"/>
  <c r="H95" i="1"/>
  <c r="E94" i="1"/>
  <c r="F96" i="1" l="1"/>
  <c r="K96" i="1"/>
  <c r="E95" i="1"/>
  <c r="G99" i="1" l="1"/>
  <c r="E99" i="1"/>
  <c r="E96" i="1"/>
  <c r="E100" i="1" l="1"/>
  <c r="G100" i="1"/>
  <c r="E101" i="1" l="1"/>
  <c r="G101" i="1"/>
  <c r="G102" i="1" l="1"/>
  <c r="E102" i="1"/>
  <c r="G103" i="1" l="1"/>
  <c r="E103" i="1"/>
  <c r="G104" i="1" l="1"/>
  <c r="E104" i="1"/>
  <c r="E105" i="1" l="1"/>
  <c r="F105" i="1"/>
  <c r="G105" i="1" s="1"/>
  <c r="E1" i="1" s="1"/>
</calcChain>
</file>

<file path=xl/sharedStrings.xml><?xml version="1.0" encoding="utf-8"?>
<sst xmlns="http://schemas.openxmlformats.org/spreadsheetml/2006/main" count="810" uniqueCount="43">
  <si>
    <t>index</t>
  </si>
  <si>
    <t>role</t>
  </si>
  <si>
    <t>debut_min</t>
  </si>
  <si>
    <t>duree_s</t>
  </si>
  <si>
    <t>nerzh</t>
  </si>
  <si>
    <t>tizh</t>
  </si>
  <si>
    <t>echauffement</t>
  </si>
  <si>
    <t>recuperation</t>
  </si>
  <si>
    <t>Nerzh min</t>
  </si>
  <si>
    <t>Nerzh max</t>
  </si>
  <si>
    <t>Tizh min</t>
  </si>
  <si>
    <t>Tizh max</t>
  </si>
  <si>
    <t>Adnerzhan</t>
  </si>
  <si>
    <t>Montée en puissance</t>
  </si>
  <si>
    <t>Temp total (s)</t>
  </si>
  <si>
    <t>Retour Rythme apaisé</t>
  </si>
  <si>
    <t>Montée en puissance (min)</t>
  </si>
  <si>
    <t>Retour Rythme apaisé (max)</t>
  </si>
  <si>
    <t>entre 25 et 75</t>
  </si>
  <si>
    <t>Nerzh</t>
  </si>
  <si>
    <t>Tizh</t>
  </si>
  <si>
    <t>Durée Récupération active (s)</t>
  </si>
  <si>
    <t>cumul_temps</t>
  </si>
  <si>
    <t>Effort Evol Tizh</t>
  </si>
  <si>
    <t>Effort Evol Nerzh</t>
  </si>
  <si>
    <t>Plateau HIIT (min)</t>
  </si>
  <si>
    <t>Plateau HIIT</t>
  </si>
  <si>
    <t>Effort Intense</t>
  </si>
  <si>
    <t>Itération_Plateau_HIIT</t>
  </si>
  <si>
    <t>Correction_DuréeEffortIntense</t>
  </si>
  <si>
    <t>duree_standard</t>
  </si>
  <si>
    <t>Durée_Corrigée</t>
  </si>
  <si>
    <t xml:space="preserve">Durée moyenne Effort Intense (s) </t>
  </si>
  <si>
    <t>a</t>
  </si>
  <si>
    <t>d</t>
  </si>
  <si>
    <t>b</t>
  </si>
  <si>
    <t>c</t>
  </si>
  <si>
    <t>r</t>
  </si>
  <si>
    <t>Temps_Ref</t>
  </si>
  <si>
    <t>moyenne</t>
  </si>
  <si>
    <t>Fonction polynomiale d'évolution du temps d'Effort Intense</t>
  </si>
  <si>
    <t>Padelezh (min)</t>
  </si>
  <si>
    <t>k.multiple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</si>
</sst>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0" tint="-0.249977111117893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9" fillId="0" borderId="0" xfId="0" applyFont="1"/>
    <xf numFmtId="0" fontId="21" fillId="0" borderId="0" xfId="0" applyFon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2" fontId="19" fillId="0" borderId="0" xfId="0" applyNumberFormat="1" applyFont="1"/>
    <xf numFmtId="0" fontId="24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22" fillId="0" borderId="14" xfId="0" applyFont="1" applyBorder="1" applyAlignment="1">
      <alignment horizontal="center" vertical="center" textRotation="90"/>
    </xf>
    <xf numFmtId="0" fontId="22" fillId="0" borderId="16" xfId="0" applyFont="1" applyBorder="1" applyAlignment="1">
      <alignment horizontal="center" vertical="center" textRotation="90"/>
    </xf>
    <xf numFmtId="0" fontId="22" fillId="0" borderId="15" xfId="0" applyFont="1" applyBorder="1" applyAlignment="1">
      <alignment horizontal="center" vertical="center" textRotation="90"/>
    </xf>
    <xf numFmtId="0" fontId="20" fillId="0" borderId="19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16" fillId="0" borderId="14" xfId="0" applyFont="1" applyBorder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8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CFF6A4-C846-4CC7-97F4-20DBD324D120}" name="Tableau1" displayName="Tableau1" ref="C17:I26" totalsRowShown="0" headerRowDxfId="185" dataDxfId="184">
  <autoFilter ref="C17:I26" xr:uid="{84CFF6A4-C846-4CC7-97F4-20DBD324D120}"/>
  <tableColumns count="7">
    <tableColumn id="1" xr3:uid="{44CBBA18-9529-4FE9-8696-E712A31A1AC7}" name="index" dataDxfId="183"/>
    <tableColumn id="2" xr3:uid="{D7F37343-4F93-42A6-8484-FA110FFACF15}" name="role" dataDxfId="182"/>
    <tableColumn id="3" xr3:uid="{18FB1932-FF43-44B7-B748-4850ABD6917B}" name="debut_min" dataDxfId="181"/>
    <tableColumn id="4" xr3:uid="{913B0E0A-1734-4B80-98DB-308D276DD03E}" name="duree_s" dataDxfId="180"/>
    <tableColumn id="5" xr3:uid="{C2B60231-FC4A-4B41-BCC9-C85D2D3F7EE4}" name="cumul_temps" dataDxfId="179">
      <calculatedColumnFormula>+G17+F18</calculatedColumnFormula>
    </tableColumn>
    <tableColumn id="7" xr3:uid="{2CBB5EB6-DB40-46EA-B07B-4862B1689BCC}" name="nerzh" dataDxfId="178"/>
    <tableColumn id="8" xr3:uid="{35668EB0-1881-4A15-B0F7-601E306C522D}" name="tizh" dataDxfId="17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B9A06A-C38A-4712-AC0F-07519E0CA9A6}" name="Tableau14" displayName="Tableau14" ref="C28:M96" totalsRowShown="0" headerRowDxfId="176" dataDxfId="175">
  <autoFilter ref="C28:M96" xr:uid="{A8B9A06A-C38A-4712-AC0F-07519E0CA9A6}"/>
  <tableColumns count="11">
    <tableColumn id="1" xr3:uid="{87AF77E7-001C-400D-88F9-A9BF41A999B2}" name="index" dataDxfId="174"/>
    <tableColumn id="2" xr3:uid="{069DA59C-D9A8-4D83-8659-C6AF41B760AE}" name="role" dataDxfId="173"/>
    <tableColumn id="3" xr3:uid="{A8B04994-A1AD-4DF7-B2F9-657CCB9F2C04}" name="debut_min" dataDxfId="172">
      <calculatedColumnFormula>IF(Tableau14[[#This Row],[cumul_temps]]&gt;0,Tableau14[[#This Row],[cumul_temps]]/60,$E28)</calculatedColumnFormula>
    </tableColumn>
    <tableColumn id="4" xr3:uid="{332FD6FB-B611-4FEC-A0DC-1FF9EF90AAFD}" name="duree_standard" dataDxfId="171"/>
    <tableColumn id="13" xr3:uid="{BAB00607-4FC9-497F-94BB-155774BB9086}" name="Itération_Plateau_HIIT" dataDxfId="170"/>
    <tableColumn id="15" xr3:uid="{911BAAC6-6F04-4982-BAAC-0DCEA791CC86}" name="Temps_Ref" dataDxfId="169">
      <calculatedColumnFormula>IF(#REF!&gt;0,(#REF!-Tableau14[[#This Row],[duree_standard]]/2)/$C$4,0)</calculatedColumnFormula>
    </tableColumn>
    <tableColumn id="12" xr3:uid="{1BE263C7-814E-400C-A63E-55F9A94AFCD4}" name="Correction_DuréeEffortIntense" dataDxfId="168">
      <calculatedColumnFormula>ROUND(IF(#REF!&gt;0,($F$13*Tableau14[[#This Row],[Temps_Ref]]^4+$G$13*Tableau14[[#This Row],[Temps_Ref]]^3+$H$13*Tableau14[[#This Row],[Temps_Ref]]^2+$I$13)/$J$13,0),1)</calculatedColumnFormula>
    </tableColumn>
    <tableColumn id="11" xr3:uid="{1B23634E-4BA6-4A4F-A281-03830F98AF54}" name="Durée_Corrigée" dataDxfId="167">
      <calculatedColumnFormula>Tableau14[[#This Row],[duree_standard]]*Tableau14[[#This Row],[Correction_DuréeEffortIntense]]</calculatedColumnFormula>
    </tableColumn>
    <tableColumn id="5" xr3:uid="{E868D6E0-E9DB-44CC-AD8B-0D8038E84AAA}" name="cumul_temps" dataDxfId="166">
      <calculatedColumnFormula>+K28+F29</calculatedColumnFormula>
    </tableColumn>
    <tableColumn id="7" xr3:uid="{F4CE246E-AF20-4B78-8607-FE42CC4AEF88}" name="nerzh" dataDxfId="165">
      <calculatedColumnFormula>$B$8</calculatedColumnFormula>
    </tableColumn>
    <tableColumn id="8" xr3:uid="{16337DF6-25D0-4854-8BDE-E9A828197397}" name="tizh" dataDxfId="164">
      <calculatedColumnFormula>$B$11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8BB464-6634-4811-A6D5-795E6CD77D8F}" name="Tableau15" displayName="Tableau15" ref="C98:I105" totalsRowShown="0" headerRowDxfId="163" dataDxfId="162">
  <autoFilter ref="C98:I105" xr:uid="{548BB464-6634-4811-A6D5-795E6CD77D8F}"/>
  <tableColumns count="7">
    <tableColumn id="1" xr3:uid="{7569C3F2-1592-4236-8A91-0A44D5BB7404}" name="index" dataDxfId="161"/>
    <tableColumn id="2" xr3:uid="{F3AE57D2-445C-47EE-8205-6324DAF4AE8D}" name="role" dataDxfId="160"/>
    <tableColumn id="3" xr3:uid="{8DA09FE6-2567-4494-9E76-D7A83E5B5863}" name="debut_min" dataDxfId="159"/>
    <tableColumn id="4" xr3:uid="{8BB869A0-503F-4D12-9B6E-680A03375C75}" name="duree_s" dataDxfId="158"/>
    <tableColumn id="5" xr3:uid="{841E07D3-DF95-46BE-A3B6-CB1293940544}" name="cumul_temps" dataDxfId="157">
      <calculatedColumnFormula>$K$96+Tableau15[[#This Row],[duree_s]]</calculatedColumnFormula>
    </tableColumn>
    <tableColumn id="7" xr3:uid="{C422F534-3D3B-42B9-8968-D24D579879E3}" name="nerzh" dataDxfId="156"/>
    <tableColumn id="8" xr3:uid="{545D1685-461C-4B90-BAD5-065EF9391DC6}" name="tizh" dataDxfId="15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47B8C8-38FC-477D-AD0D-CDC4F2993282}" name="Tableau13" displayName="Tableau13" ref="C17:I26" totalsRowShown="0" headerRowDxfId="154" dataDxfId="153">
  <autoFilter ref="C17:I26" xr:uid="{84CFF6A4-C846-4CC7-97F4-20DBD324D120}"/>
  <tableColumns count="7">
    <tableColumn id="1" xr3:uid="{AF0E1FBE-1B21-4165-9861-77446E801408}" name="index" dataDxfId="152"/>
    <tableColumn id="2" xr3:uid="{755D9049-9FF4-4FEC-907D-11C878222C29}" name="role" dataDxfId="151"/>
    <tableColumn id="3" xr3:uid="{93F09740-508F-4CA1-99E7-562855AA3F18}" name="debut_min" dataDxfId="150"/>
    <tableColumn id="4" xr3:uid="{8F00EA62-AFD6-4057-A7ED-4D3A7AD1F556}" name="duree_s" dataDxfId="149"/>
    <tableColumn id="5" xr3:uid="{8041203C-266A-4321-9C45-36361D4C7DB3}" name="cumul_temps" dataDxfId="148">
      <calculatedColumnFormula>+G17+F18</calculatedColumnFormula>
    </tableColumn>
    <tableColumn id="7" xr3:uid="{D0270BEA-A81B-4809-82F9-403E863FB6A4}" name="nerzh" dataDxfId="147"/>
    <tableColumn id="8" xr3:uid="{AD2F1919-3148-459E-A2D2-F349A0E6A6D0}" name="tizh" dataDxfId="14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F27D46-FF84-432A-8D67-6671F63943D1}" name="Tableau146" displayName="Tableau146" ref="C28:M96" totalsRowShown="0" headerRowDxfId="145" dataDxfId="144">
  <autoFilter ref="C28:M96" xr:uid="{A8B9A06A-C38A-4712-AC0F-07519E0CA9A6}"/>
  <tableColumns count="11">
    <tableColumn id="1" xr3:uid="{B14839FC-0EFC-4F41-80A0-9D0892EE29C9}" name="index" dataDxfId="143"/>
    <tableColumn id="2" xr3:uid="{804A752C-9A0D-4FBA-B009-9DC59B41527B}" name="role" dataDxfId="142"/>
    <tableColumn id="3" xr3:uid="{7DE479D2-3D49-4D88-9AE3-A8175B68CA31}" name="debut_min" dataDxfId="141">
      <calculatedColumnFormula>IF(Tableau146[[#This Row],[cumul_temps]]&gt;0,Tableau146[[#This Row],[cumul_temps]]/60,$E28)</calculatedColumnFormula>
    </tableColumn>
    <tableColumn id="4" xr3:uid="{84E119AA-3030-4E34-9EEE-99ADC3365256}" name="duree_standard" dataDxfId="140"/>
    <tableColumn id="13" xr3:uid="{D8F4DC35-A789-40E1-8B14-502C97C3EDEF}" name="Itération_Plateau_HIIT" dataDxfId="139"/>
    <tableColumn id="15" xr3:uid="{4D616B70-6954-4FBA-9705-C149CFAF4BC4}" name="Temps_Ref" dataDxfId="138">
      <calculatedColumnFormula>IF(#REF!&gt;0,(#REF!-Tableau146[[#This Row],[duree_standard]]/2)/$C$4,0)</calculatedColumnFormula>
    </tableColumn>
    <tableColumn id="12" xr3:uid="{E8E98DC9-C1A0-4644-AACB-09C5A00D2AF9}" name="Correction_DuréeEffortIntense" dataDxfId="137">
      <calculatedColumnFormula>ROUND(IF(#REF!&gt;0,($F$13*Tableau146[[#This Row],[Temps_Ref]]^4+$G$13*Tableau146[[#This Row],[Temps_Ref]]^3+$H$13*Tableau146[[#This Row],[Temps_Ref]]^2+$I$13)/$J$13,0),1)</calculatedColumnFormula>
    </tableColumn>
    <tableColumn id="11" xr3:uid="{D76A14A0-6A35-4950-9AC7-6E7EE15865F6}" name="Durée_Corrigée" dataDxfId="136">
      <calculatedColumnFormula>Tableau146[[#This Row],[duree_standard]]*Tableau146[[#This Row],[Correction_DuréeEffortIntense]]</calculatedColumnFormula>
    </tableColumn>
    <tableColumn id="5" xr3:uid="{92033583-CDFD-49A8-9F49-5CB2FA258754}" name="cumul_temps" dataDxfId="135">
      <calculatedColumnFormula>+K28+F29</calculatedColumnFormula>
    </tableColumn>
    <tableColumn id="7" xr3:uid="{4DCEFDEC-902F-4609-ACD6-4CAB526782CB}" name="nerzh" dataDxfId="134">
      <calculatedColumnFormula>$B$8</calculatedColumnFormula>
    </tableColumn>
    <tableColumn id="8" xr3:uid="{F7F5A386-79D3-4B4F-AA4F-059B7AC56C88}" name="tizh" dataDxfId="133">
      <calculatedColumnFormula>$B$11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1C93758-5432-4E19-BB5C-547D280C3F42}" name="Tableau157" displayName="Tableau157" ref="C98:I105" totalsRowShown="0" headerRowDxfId="132" dataDxfId="131">
  <autoFilter ref="C98:I105" xr:uid="{548BB464-6634-4811-A6D5-795E6CD77D8F}"/>
  <tableColumns count="7">
    <tableColumn id="1" xr3:uid="{5AB5872A-F0C1-4C4B-8133-756B34EE4A65}" name="index" dataDxfId="130"/>
    <tableColumn id="2" xr3:uid="{C886E54A-F392-4DDD-AC57-2AA94753FF98}" name="role" dataDxfId="129"/>
    <tableColumn id="3" xr3:uid="{B76CA0BE-B88B-4945-835D-68FD39B21F1E}" name="debut_min" dataDxfId="128"/>
    <tableColumn id="4" xr3:uid="{FD3E9B2C-538E-4D62-8685-50D251E17BC7}" name="duree_s" dataDxfId="127"/>
    <tableColumn id="5" xr3:uid="{AB39B88C-5F6A-4ED8-BB7F-E1027EDBE2EC}" name="cumul_temps" dataDxfId="126">
      <calculatedColumnFormula>$K$96+Tableau157[[#This Row],[duree_s]]</calculatedColumnFormula>
    </tableColumn>
    <tableColumn id="7" xr3:uid="{85C9C913-2D97-4D9E-9DA3-3D62FD16B2BA}" name="nerzh" dataDxfId="125"/>
    <tableColumn id="8" xr3:uid="{CA1BFDCA-EC07-4EE7-8082-ECB43DBAF336}" name="tizh" dataDxfId="12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43A8166-87EF-4C57-B308-851C60633A53}" name="Tableau138" displayName="Tableau138" ref="C17:I26" totalsRowShown="0" headerRowDxfId="123" dataDxfId="122">
  <autoFilter ref="C17:I26" xr:uid="{84CFF6A4-C846-4CC7-97F4-20DBD324D120}"/>
  <tableColumns count="7">
    <tableColumn id="1" xr3:uid="{5940B433-56D0-4BE7-9977-042700E5DF99}" name="index" dataDxfId="121"/>
    <tableColumn id="2" xr3:uid="{417AF885-BB81-41F3-9704-7E3187131393}" name="role" dataDxfId="120"/>
    <tableColumn id="3" xr3:uid="{1F46D504-8315-4777-8073-A0647DC153A1}" name="debut_min" dataDxfId="119"/>
    <tableColumn id="4" xr3:uid="{8ED6A0D2-C334-4F4A-85E8-6E6133FB7759}" name="duree_s" dataDxfId="118"/>
    <tableColumn id="5" xr3:uid="{0761C9C8-A0BD-4C2E-B4E6-29A88E3C86D0}" name="cumul_temps" dataDxfId="117">
      <calculatedColumnFormula>+G17+F18</calculatedColumnFormula>
    </tableColumn>
    <tableColumn id="7" xr3:uid="{B4001158-8FD5-4096-9393-97F2BC23C87C}" name="nerzh" dataDxfId="116"/>
    <tableColumn id="8" xr3:uid="{2B8A9025-0181-4C5E-8442-9247AED456C7}" name="tizh" dataDxfId="11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BFD4BD8-6512-4676-8203-40B771B13DDD}" name="Tableau1469" displayName="Tableau1469" ref="C28:M96" totalsRowShown="0" headerRowDxfId="114" dataDxfId="113">
  <autoFilter ref="C28:M96" xr:uid="{A8B9A06A-C38A-4712-AC0F-07519E0CA9A6}"/>
  <tableColumns count="11">
    <tableColumn id="1" xr3:uid="{13FEA4E1-089F-4781-88B3-BC16AADA484F}" name="index" dataDxfId="112"/>
    <tableColumn id="2" xr3:uid="{F4AB2845-3485-42A5-B6C7-E423F5F65154}" name="role" dataDxfId="111"/>
    <tableColumn id="3" xr3:uid="{2A4F9AFD-0FF1-4DEA-8DDC-84EAF9C6891C}" name="debut_min" dataDxfId="110">
      <calculatedColumnFormula>IF(Tableau1469[[#This Row],[cumul_temps]]&gt;0,Tableau1469[[#This Row],[cumul_temps]]/60,$E28)</calculatedColumnFormula>
    </tableColumn>
    <tableColumn id="4" xr3:uid="{6FD631BB-152A-4DD2-A586-B511B827413D}" name="duree_standard" dataDxfId="109"/>
    <tableColumn id="13" xr3:uid="{5FCB2747-61B0-48EA-B887-CB84D72230D4}" name="Itération_Plateau_HIIT" dataDxfId="108"/>
    <tableColumn id="15" xr3:uid="{F67DEE24-1AF6-4505-A66B-AE333E7A37F3}" name="Temps_Ref" dataDxfId="107">
      <calculatedColumnFormula>IF(#REF!&gt;0,(#REF!-Tableau1469[[#This Row],[duree_standard]]/2)/$C$4,0)</calculatedColumnFormula>
    </tableColumn>
    <tableColumn id="12" xr3:uid="{91403036-17D6-4E0C-B039-A35461E635DB}" name="Correction_DuréeEffortIntense" dataDxfId="106">
      <calculatedColumnFormula>ROUND(IF(#REF!&gt;0,($F$13*Tableau1469[[#This Row],[Temps_Ref]]^4+$G$13*Tableau1469[[#This Row],[Temps_Ref]]^3+$H$13*Tableau1469[[#This Row],[Temps_Ref]]^2+$I$13)/$J$13,0),1)</calculatedColumnFormula>
    </tableColumn>
    <tableColumn id="11" xr3:uid="{1E10841C-D499-49FD-927B-A24E608E3DC4}" name="Durée_Corrigée" dataDxfId="105">
      <calculatedColumnFormula>Tableau1469[[#This Row],[duree_standard]]*Tableau1469[[#This Row],[Correction_DuréeEffortIntense]]</calculatedColumnFormula>
    </tableColumn>
    <tableColumn id="5" xr3:uid="{774E4894-F689-4A23-BFB2-792ECAFDCCD7}" name="cumul_temps" dataDxfId="104">
      <calculatedColumnFormula>+K28+F29</calculatedColumnFormula>
    </tableColumn>
    <tableColumn id="7" xr3:uid="{CE683131-269B-47DD-AFF9-EC78B7C0F752}" name="nerzh" dataDxfId="103">
      <calculatedColumnFormula>$B$8</calculatedColumnFormula>
    </tableColumn>
    <tableColumn id="8" xr3:uid="{3B6E7C5D-65EB-4654-95AF-5295065A13E1}" name="tizh" dataDxfId="102">
      <calculatedColumnFormula>$B$11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66997E1-36B8-46B9-835F-996C62983A9F}" name="Tableau15710" displayName="Tableau15710" ref="C98:I105" totalsRowShown="0" headerRowDxfId="101" dataDxfId="100">
  <autoFilter ref="C98:I105" xr:uid="{548BB464-6634-4811-A6D5-795E6CD77D8F}"/>
  <tableColumns count="7">
    <tableColumn id="1" xr3:uid="{117786DE-6CE5-4D12-BB03-C62A2D8CF7FB}" name="index" dataDxfId="99"/>
    <tableColumn id="2" xr3:uid="{B79F47D8-8607-4F09-BB10-70E1FA80ADA7}" name="role" dataDxfId="98"/>
    <tableColumn id="3" xr3:uid="{1CA9C570-E3BB-470A-AA40-F64AF67EAD5A}" name="debut_min" dataDxfId="97"/>
    <tableColumn id="4" xr3:uid="{677E8CF0-3141-43BD-9E07-B8E8F322C671}" name="duree_s" dataDxfId="96"/>
    <tableColumn id="5" xr3:uid="{D545E7EB-CA65-4E4C-A5DA-19E9626A3C62}" name="cumul_temps" dataDxfId="95">
      <calculatedColumnFormula>$K$96+Tableau15710[[#This Row],[duree_s]]</calculatedColumnFormula>
    </tableColumn>
    <tableColumn id="7" xr3:uid="{9EC82172-6293-42BD-B690-E7287648040E}" name="nerzh" dataDxfId="94"/>
    <tableColumn id="8" xr3:uid="{9BFE4422-1E06-4F98-905D-F4254784DF22}" name="tizh" dataDxfId="9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190BEB8-B17E-4BAA-8E5C-0FD6265E0D72}" name="Tableau13811" displayName="Tableau13811" ref="C17:I26" totalsRowShown="0" headerRowDxfId="92" dataDxfId="91">
  <autoFilter ref="C17:I26" xr:uid="{84CFF6A4-C846-4CC7-97F4-20DBD324D120}"/>
  <tableColumns count="7">
    <tableColumn id="1" xr3:uid="{5E49A2A9-9608-40EE-9AFC-F19CDBD42A8E}" name="index" dataDxfId="90"/>
    <tableColumn id="2" xr3:uid="{2218A4F1-4D70-4A10-832A-54F844424903}" name="role" dataDxfId="89"/>
    <tableColumn id="3" xr3:uid="{7445586A-5B8F-4399-903D-2CD0A4B74D68}" name="debut_min" dataDxfId="88"/>
    <tableColumn id="4" xr3:uid="{B0C903C8-4B2D-42AC-B579-DFC7359496A0}" name="duree_s" dataDxfId="87"/>
    <tableColumn id="5" xr3:uid="{90BB884D-1612-4AD0-807D-92FA29B38264}" name="cumul_temps" dataDxfId="86">
      <calculatedColumnFormula>+G17+F18</calculatedColumnFormula>
    </tableColumn>
    <tableColumn id="7" xr3:uid="{4EAA16A6-33C2-4F1B-AD73-03642743B129}" name="nerzh" dataDxfId="85"/>
    <tableColumn id="8" xr3:uid="{4BE8AA02-57FE-478A-B78D-BFA88B1D3875}" name="tizh" dataDxfId="8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4BA77A3-64D5-4DF0-8482-D4220ECA67E7}" name="Tableau146912" displayName="Tableau146912" ref="C28:M96" totalsRowShown="0" headerRowDxfId="83" dataDxfId="82">
  <autoFilter ref="C28:M96" xr:uid="{A8B9A06A-C38A-4712-AC0F-07519E0CA9A6}"/>
  <tableColumns count="11">
    <tableColumn id="1" xr3:uid="{C6C77ECB-642F-42A7-82E8-221F27F68DAB}" name="index" dataDxfId="81"/>
    <tableColumn id="2" xr3:uid="{48EE497E-3947-473B-87B0-D5827A876A60}" name="role" dataDxfId="80"/>
    <tableColumn id="3" xr3:uid="{F8FA6163-B3D1-48D8-AEB5-00CA6E092AD8}" name="debut_min" dataDxfId="79">
      <calculatedColumnFormula>IF(Tableau146912[[#This Row],[cumul_temps]]&gt;0,Tableau146912[[#This Row],[cumul_temps]]/60,$E28)</calculatedColumnFormula>
    </tableColumn>
    <tableColumn id="4" xr3:uid="{CB545B82-F10F-4B7C-A127-1B6F1FF07E7B}" name="duree_standard" dataDxfId="78"/>
    <tableColumn id="13" xr3:uid="{9C4C8345-DC4C-45DC-9FA8-270B2F51085A}" name="Itération_Plateau_HIIT" dataDxfId="77"/>
    <tableColumn id="15" xr3:uid="{847B2482-F2D2-43E3-9616-45A1BA569D7F}" name="Temps_Ref" dataDxfId="76">
      <calculatedColumnFormula>IF(#REF!&gt;0,(#REF!-Tableau146912[[#This Row],[duree_standard]]/2)/$C$4,0)</calculatedColumnFormula>
    </tableColumn>
    <tableColumn id="12" xr3:uid="{E807D6C4-D9DB-47AC-B9F8-E134392CF0A0}" name="Correction_DuréeEffortIntense" dataDxfId="75">
      <calculatedColumnFormula>ROUND(IF(#REF!&gt;0,($F$13*Tableau146912[[#This Row],[Temps_Ref]]^4+$G$13*Tableau146912[[#This Row],[Temps_Ref]]^3+$H$13*Tableau146912[[#This Row],[Temps_Ref]]^2+$I$13)/$J$13,0),1)</calculatedColumnFormula>
    </tableColumn>
    <tableColumn id="11" xr3:uid="{29078C1E-598D-42B3-8649-67DE8B0C0736}" name="Durée_Corrigée" dataDxfId="74">
      <calculatedColumnFormula>Tableau146912[[#This Row],[duree_standard]]*Tableau146912[[#This Row],[Correction_DuréeEffortIntense]]</calculatedColumnFormula>
    </tableColumn>
    <tableColumn id="5" xr3:uid="{D7E26DEE-375F-44AF-959A-2C62DB4F74FB}" name="cumul_temps" dataDxfId="73">
      <calculatedColumnFormula>+K28+F29</calculatedColumnFormula>
    </tableColumn>
    <tableColumn id="7" xr3:uid="{EBD70C20-1077-48A4-9A61-31CD5E09C1A0}" name="nerzh" dataDxfId="72">
      <calculatedColumnFormula>$B$8</calculatedColumnFormula>
    </tableColumn>
    <tableColumn id="8" xr3:uid="{39CB2176-B9EA-4982-B9FD-8A621AC5AD71}" name="tizh" dataDxfId="71">
      <calculatedColumnFormula>$B$11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BDE425C-53EB-48C9-B9E2-600CB870F4C6}" name="Tableau1571013" displayName="Tableau1571013" ref="C98:I105" totalsRowShown="0" headerRowDxfId="70" dataDxfId="69">
  <autoFilter ref="C98:I105" xr:uid="{548BB464-6634-4811-A6D5-795E6CD77D8F}"/>
  <tableColumns count="7">
    <tableColumn id="1" xr3:uid="{CA44AE75-9B65-40B9-A566-7AE11931B302}" name="index" dataDxfId="68"/>
    <tableColumn id="2" xr3:uid="{FBC3DBCD-6C80-4764-9496-C7338F13D752}" name="role" dataDxfId="67"/>
    <tableColumn id="3" xr3:uid="{26AC2059-F9CA-4A31-9357-77B12A769479}" name="debut_min" dataDxfId="66"/>
    <tableColumn id="4" xr3:uid="{57D7835D-9FD0-45AE-940E-1ECF656D15B0}" name="duree_s" dataDxfId="65"/>
    <tableColumn id="5" xr3:uid="{90ECBD01-2975-47ED-91E9-2E0DCFABE972}" name="cumul_temps" dataDxfId="64">
      <calculatedColumnFormula>$K$96+Tableau1571013[[#This Row],[duree_s]]</calculatedColumnFormula>
    </tableColumn>
    <tableColumn id="7" xr3:uid="{9C819734-96E1-4721-893D-9C136E85845D}" name="nerzh" dataDxfId="63"/>
    <tableColumn id="8" xr3:uid="{A6AC4F6C-2768-469F-946A-DD09925FFFC7}" name="tizh" dataDxfId="6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04F9E4C-46FA-4F37-A297-DA44DDE640BB}" name="Tableau1381114" displayName="Tableau1381114" ref="C17:I26" totalsRowShown="0" headerRowDxfId="61" dataDxfId="60">
  <autoFilter ref="C17:I26" xr:uid="{84CFF6A4-C846-4CC7-97F4-20DBD324D120}"/>
  <tableColumns count="7">
    <tableColumn id="1" xr3:uid="{EA9A4795-BB40-411E-9BAC-237057000987}" name="index" dataDxfId="59"/>
    <tableColumn id="2" xr3:uid="{A0E85980-A813-4B98-8C83-869121368E4E}" name="role" dataDxfId="58"/>
    <tableColumn id="3" xr3:uid="{33CDF292-D598-45C2-A394-CBECAF3DA0B0}" name="debut_min" dataDxfId="57"/>
    <tableColumn id="4" xr3:uid="{50A0E8BC-AAFC-41F3-97C7-DE74A3B587EA}" name="duree_s" dataDxfId="56"/>
    <tableColumn id="5" xr3:uid="{64E49E4A-9C80-4F47-99CC-45908BF3DEBD}" name="cumul_temps" dataDxfId="55">
      <calculatedColumnFormula>+G17+F18</calculatedColumnFormula>
    </tableColumn>
    <tableColumn id="7" xr3:uid="{7E9DB55E-27C8-4775-ACFC-4304B01D9C9B}" name="nerzh" dataDxfId="54"/>
    <tableColumn id="8" xr3:uid="{02322255-1C29-4207-9170-18368E97C73E}" name="tizh" dataDxfId="5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382965F-6C84-4CE5-85E4-1F5BECACF3B1}" name="Tableau14691215" displayName="Tableau14691215" ref="C28:M96" totalsRowShown="0" headerRowDxfId="52" dataDxfId="51">
  <autoFilter ref="C28:M96" xr:uid="{A8B9A06A-C38A-4712-AC0F-07519E0CA9A6}"/>
  <tableColumns count="11">
    <tableColumn id="1" xr3:uid="{A9DFFE67-235C-4A85-84E1-2D4498682021}" name="index" dataDxfId="50"/>
    <tableColumn id="2" xr3:uid="{4D0CF932-EA1A-473A-B24A-7CBBE73512AC}" name="role" dataDxfId="49"/>
    <tableColumn id="3" xr3:uid="{F59D47F1-4A84-4142-9644-8D576D6C22AE}" name="debut_min" dataDxfId="48">
      <calculatedColumnFormula>IF(Tableau14691215[[#This Row],[cumul_temps]]&gt;0,Tableau14691215[[#This Row],[cumul_temps]]/60,$E28)</calculatedColumnFormula>
    </tableColumn>
    <tableColumn id="4" xr3:uid="{B96C7677-C80F-4D57-9043-34D60B6B0B20}" name="duree_standard" dataDxfId="47"/>
    <tableColumn id="13" xr3:uid="{3FB9B505-2EEA-43F4-922F-203B6D2CC7DA}" name="Itération_Plateau_HIIT" dataDxfId="46"/>
    <tableColumn id="15" xr3:uid="{B7CFAE25-43E8-4B80-BB1B-CADE47ED53C3}" name="Temps_Ref" dataDxfId="45">
      <calculatedColumnFormula>IF(#REF!&gt;0,(#REF!-Tableau14691215[[#This Row],[duree_standard]]/2)/$C$4,0)</calculatedColumnFormula>
    </tableColumn>
    <tableColumn id="12" xr3:uid="{F719F372-B039-4461-80BC-E23E2B15E4B5}" name="Correction_DuréeEffortIntense" dataDxfId="44">
      <calculatedColumnFormula>ROUND(IF(#REF!&gt;0,($F$13*Tableau14691215[[#This Row],[Temps_Ref]]^4+$G$13*Tableau14691215[[#This Row],[Temps_Ref]]^3+$H$13*Tableau14691215[[#This Row],[Temps_Ref]]^2+$I$13)/$J$13,0),1)</calculatedColumnFormula>
    </tableColumn>
    <tableColumn id="11" xr3:uid="{A39626BC-EAB7-4BBF-A37C-AC5F5B355E0B}" name="Durée_Corrigée" dataDxfId="43">
      <calculatedColumnFormula>Tableau14691215[[#This Row],[duree_standard]]*Tableau14691215[[#This Row],[Correction_DuréeEffortIntense]]</calculatedColumnFormula>
    </tableColumn>
    <tableColumn id="5" xr3:uid="{27C90299-C98A-43E4-ABCE-BFB3163081F4}" name="cumul_temps" dataDxfId="42">
      <calculatedColumnFormula>+K28+F29</calculatedColumnFormula>
    </tableColumn>
    <tableColumn id="7" xr3:uid="{167752E3-90F3-430F-A8F7-03B43B593FFE}" name="nerzh" dataDxfId="41">
      <calculatedColumnFormula>$B$8</calculatedColumnFormula>
    </tableColumn>
    <tableColumn id="8" xr3:uid="{C0FB8184-06D3-4F99-BC5D-8A1C266DF610}" name="tizh" dataDxfId="40">
      <calculatedColumnFormula>$B$11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9EF67F6-105F-49CC-8560-293E47667879}" name="Tableau157101316" displayName="Tableau157101316" ref="C98:I105" totalsRowShown="0" headerRowDxfId="39" dataDxfId="38">
  <autoFilter ref="C98:I105" xr:uid="{548BB464-6634-4811-A6D5-795E6CD77D8F}"/>
  <tableColumns count="7">
    <tableColumn id="1" xr3:uid="{A4A7942F-52F8-4DA0-826D-99F69F8FAE5D}" name="index" dataDxfId="37"/>
    <tableColumn id="2" xr3:uid="{E2FF46DE-3DA9-4DE6-BF90-91C4F11DDDCA}" name="role" dataDxfId="36"/>
    <tableColumn id="3" xr3:uid="{838E239A-A031-4EBE-AAA8-F000E6327287}" name="debut_min" dataDxfId="35"/>
    <tableColumn id="4" xr3:uid="{59C39A8B-9AEB-4A2A-A8A1-3DB7A8786286}" name="duree_s" dataDxfId="34"/>
    <tableColumn id="5" xr3:uid="{85FB4FC3-AF85-4532-9C59-FDFD1BAD931C}" name="cumul_temps" dataDxfId="33">
      <calculatedColumnFormula>$K$96+Tableau157101316[[#This Row],[duree_s]]</calculatedColumnFormula>
    </tableColumn>
    <tableColumn id="7" xr3:uid="{7028BC1B-3F8C-4B05-BD02-1B593A8A1313}" name="nerzh" dataDxfId="32"/>
    <tableColumn id="8" xr3:uid="{41D3E3DB-C349-4EB5-92A7-51C8CD7A63EE}" name="tizh" dataDxfId="3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F293998-6371-4C22-8110-058176ED533E}" name="Tableau138111417" displayName="Tableau138111417" ref="C17:I26" totalsRowShown="0" headerRowDxfId="30" dataDxfId="29">
  <autoFilter ref="C17:I26" xr:uid="{84CFF6A4-C846-4CC7-97F4-20DBD324D120}"/>
  <tableColumns count="7">
    <tableColumn id="1" xr3:uid="{2EAF1548-144B-4CC5-A205-AF8F4FA866DD}" name="index" dataDxfId="28"/>
    <tableColumn id="2" xr3:uid="{6164A4E9-A2BC-4520-BF00-A63EE4B5D435}" name="role" dataDxfId="27"/>
    <tableColumn id="3" xr3:uid="{D73BE282-DD13-4685-8BF6-8DCA8A1BD4C1}" name="debut_min" dataDxfId="26"/>
    <tableColumn id="4" xr3:uid="{DA57700C-78A6-468B-8FC2-FBA7EE6592AB}" name="duree_s" dataDxfId="25"/>
    <tableColumn id="5" xr3:uid="{684B2B3E-DAC9-4741-8FFC-E3AAE8EFCABC}" name="cumul_temps" dataDxfId="24">
      <calculatedColumnFormula>+G17+F18</calculatedColumnFormula>
    </tableColumn>
    <tableColumn id="7" xr3:uid="{62F95274-DA90-4808-B89D-0DF0A3963969}" name="nerzh" dataDxfId="23"/>
    <tableColumn id="8" xr3:uid="{FBA93D0C-CD76-4A2B-B579-FDD5D7DBE4CC}" name="tizh" dataDxfId="2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4C9B5-33BA-423E-95A0-3B19F9DBA5EE}" name="Tableau1469121518" displayName="Tableau1469121518" ref="C28:M96" totalsRowShown="0" headerRowDxfId="21" dataDxfId="20">
  <autoFilter ref="C28:M96" xr:uid="{A8B9A06A-C38A-4712-AC0F-07519E0CA9A6}"/>
  <tableColumns count="11">
    <tableColumn id="1" xr3:uid="{C64A01C3-B201-4CFE-8E7C-A2AE92CE1E48}" name="index" dataDxfId="19"/>
    <tableColumn id="2" xr3:uid="{605F06C2-D672-4CD1-B29A-1245769F930F}" name="role" dataDxfId="18"/>
    <tableColumn id="3" xr3:uid="{EF81A3FC-5BA2-4125-970B-7D2E4B92E126}" name="debut_min" dataDxfId="17">
      <calculatedColumnFormula>IF(Tableau1469121518[[#This Row],[cumul_temps]]&gt;0,Tableau1469121518[[#This Row],[cumul_temps]]/60,$E28)</calculatedColumnFormula>
    </tableColumn>
    <tableColumn id="4" xr3:uid="{D10EACE4-F990-4202-9D77-77DF0F9D7E52}" name="duree_standard" dataDxfId="16"/>
    <tableColumn id="13" xr3:uid="{A2E94476-C58A-4073-BD5F-D029C83C4578}" name="Itération_Plateau_HIIT" dataDxfId="15"/>
    <tableColumn id="15" xr3:uid="{862FFF0D-BE04-405A-88AF-4408025DEAA2}" name="Temps_Ref" dataDxfId="14">
      <calculatedColumnFormula>IF(#REF!&gt;0,(#REF!-Tableau1469121518[[#This Row],[duree_standard]]/2)/$C$4,0)</calculatedColumnFormula>
    </tableColumn>
    <tableColumn id="12" xr3:uid="{DFD5BD38-42CC-4A4D-9C4C-60F111DAA62A}" name="Correction_DuréeEffortIntense" dataDxfId="13">
      <calculatedColumnFormula>ROUND(IF(#REF!&gt;0,($F$13*Tableau1469121518[[#This Row],[Temps_Ref]]^4+$G$13*Tableau1469121518[[#This Row],[Temps_Ref]]^3+$H$13*Tableau1469121518[[#This Row],[Temps_Ref]]^2+$I$13)/$J$13,0),1)</calculatedColumnFormula>
    </tableColumn>
    <tableColumn id="11" xr3:uid="{C97D01E5-1D4E-4776-9FB1-1901A2EF45A1}" name="Durée_Corrigée" dataDxfId="12">
      <calculatedColumnFormula>Tableau1469121518[[#This Row],[duree_standard]]*Tableau1469121518[[#This Row],[Correction_DuréeEffortIntense]]</calculatedColumnFormula>
    </tableColumn>
    <tableColumn id="5" xr3:uid="{CF297769-9EDC-4030-A419-1994BD2D8E64}" name="cumul_temps" dataDxfId="11">
      <calculatedColumnFormula>+K28+F29</calculatedColumnFormula>
    </tableColumn>
    <tableColumn id="7" xr3:uid="{6D020CCF-2FED-429D-8149-D283FD40E882}" name="nerzh" dataDxfId="10">
      <calculatedColumnFormula>$B$8</calculatedColumnFormula>
    </tableColumn>
    <tableColumn id="8" xr3:uid="{56741C58-493D-4C51-9743-0F43639D716B}" name="tizh" dataDxfId="9">
      <calculatedColumnFormula>$B$11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2449F89-ECAD-4128-A2D9-3742B9827080}" name="Tableau15710131619" displayName="Tableau15710131619" ref="C98:I105" totalsRowShown="0" headerRowDxfId="8" dataDxfId="7">
  <autoFilter ref="C98:I105" xr:uid="{548BB464-6634-4811-A6D5-795E6CD77D8F}"/>
  <tableColumns count="7">
    <tableColumn id="1" xr3:uid="{1B3DBCD7-0843-4B43-B5B9-63F3FE64B823}" name="index" dataDxfId="6"/>
    <tableColumn id="2" xr3:uid="{8028CD33-FDDB-4971-B26F-4F3A951D9162}" name="role" dataDxfId="5"/>
    <tableColumn id="3" xr3:uid="{5FCA0D19-42C0-4977-8DC5-6E96C1174201}" name="debut_min" dataDxfId="4"/>
    <tableColumn id="4" xr3:uid="{458F6082-35A3-4F15-BC58-A6B0F689907F}" name="duree_s" dataDxfId="3"/>
    <tableColumn id="5" xr3:uid="{A86D0611-7399-4F86-985B-C004C38FD588}" name="cumul_temps" dataDxfId="2">
      <calculatedColumnFormula>$K$96+Tableau15710131619[[#This Row],[duree_s]]</calculatedColumnFormula>
    </tableColumn>
    <tableColumn id="7" xr3:uid="{423A3AFC-3C68-45E0-B1F2-35E66E017F42}" name="nerzh" dataDxfId="1"/>
    <tableColumn id="8" xr3:uid="{CE9C9312-702F-4C75-9760-0C6AAE267B0F}" name="tiz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6434-FB27-42ED-9B99-96037781C3D2}">
  <sheetPr codeName="Feuil1"/>
  <dimension ref="A1:M105"/>
  <sheetViews>
    <sheetView tabSelected="1" zoomScale="85" zoomScaleNormal="85" workbookViewId="0">
      <pane xSplit="3" ySplit="14" topLeftCell="D63" activePane="bottomRight" state="frozen"/>
      <selection pane="topRight" activeCell="D1" sqref="D1"/>
      <selection pane="bottomLeft" activeCell="A16" sqref="A16"/>
      <selection pane="bottomRight" activeCell="G71" sqref="G71"/>
    </sheetView>
  </sheetViews>
  <sheetFormatPr baseColWidth="10" defaultRowHeight="15" x14ac:dyDescent="0.25"/>
  <cols>
    <col min="1" max="1" width="38.85546875" bestFit="1" customWidth="1"/>
    <col min="2" max="2" width="15.140625" bestFit="1" customWidth="1"/>
    <col min="3" max="3" width="13.140625" style="3" bestFit="1" customWidth="1"/>
    <col min="4" max="4" width="15.140625" style="3" bestFit="1" customWidth="1"/>
    <col min="5" max="5" width="15.28515625" style="3" bestFit="1" customWidth="1"/>
    <col min="6" max="6" width="13.140625" style="3" bestFit="1" customWidth="1"/>
    <col min="7" max="7" width="25.42578125" style="3" bestFit="1" customWidth="1"/>
    <col min="8" max="8" width="23.7109375" style="3" bestFit="1" customWidth="1"/>
    <col min="9" max="9" width="15.140625" style="3" customWidth="1"/>
    <col min="10" max="10" width="19.85546875" style="3" bestFit="1" customWidth="1"/>
    <col min="11" max="12" width="18" bestFit="1" customWidth="1"/>
    <col min="13" max="13" width="9.5703125" bestFit="1" customWidth="1"/>
  </cols>
  <sheetData>
    <row r="1" spans="1:10" ht="18.75" x14ac:dyDescent="0.3">
      <c r="A1" s="2" t="s">
        <v>41</v>
      </c>
      <c r="B1" s="2">
        <v>75</v>
      </c>
      <c r="C1" s="4" t="s">
        <v>18</v>
      </c>
      <c r="D1" s="3">
        <f>IF($B$1&lt;25,25,IF($B$1&gt;75,75,$B$1))</f>
        <v>75</v>
      </c>
      <c r="E1" s="3">
        <f>$G$105/60</f>
        <v>75</v>
      </c>
    </row>
    <row r="2" spans="1:10" x14ac:dyDescent="0.25">
      <c r="A2" s="1" t="s">
        <v>14</v>
      </c>
      <c r="B2" s="1">
        <f>+D1*60</f>
        <v>4500</v>
      </c>
    </row>
    <row r="3" spans="1:10" x14ac:dyDescent="0.25">
      <c r="A3" s="1" t="s">
        <v>16</v>
      </c>
      <c r="B3" s="1">
        <f>10</f>
        <v>10</v>
      </c>
      <c r="C3" s="6">
        <f>+B3*60</f>
        <v>600</v>
      </c>
    </row>
    <row r="4" spans="1:10" x14ac:dyDescent="0.25">
      <c r="A4" s="1" t="s">
        <v>25</v>
      </c>
      <c r="B4" s="1">
        <f>+D1-(B3+B5)</f>
        <v>57</v>
      </c>
      <c r="C4" s="6">
        <f t="shared" ref="C4:C5" si="0">+B4*60</f>
        <v>3420</v>
      </c>
    </row>
    <row r="5" spans="1:10" x14ac:dyDescent="0.25">
      <c r="A5" s="1" t="s">
        <v>17</v>
      </c>
      <c r="B5" s="1">
        <v>8</v>
      </c>
      <c r="C5" s="6">
        <f t="shared" si="0"/>
        <v>480</v>
      </c>
    </row>
    <row r="6" spans="1:10" ht="18.75" x14ac:dyDescent="0.3">
      <c r="A6" s="2" t="s">
        <v>19</v>
      </c>
      <c r="B6" s="2">
        <v>5</v>
      </c>
    </row>
    <row r="7" spans="1:10" x14ac:dyDescent="0.25">
      <c r="A7" s="1" t="s">
        <v>8</v>
      </c>
      <c r="B7" s="1">
        <f>ROUND(2 + ($B$6-1)*6/9,0)</f>
        <v>5</v>
      </c>
    </row>
    <row r="8" spans="1:10" x14ac:dyDescent="0.25">
      <c r="A8" s="1" t="s">
        <v>9</v>
      </c>
      <c r="B8" s="1">
        <f>ROUND(6 + ($B$6-1)*10/9,0)</f>
        <v>10</v>
      </c>
    </row>
    <row r="9" spans="1:10" ht="18.75" x14ac:dyDescent="0.3">
      <c r="A9" s="2" t="s">
        <v>20</v>
      </c>
      <c r="B9" s="2">
        <v>5</v>
      </c>
    </row>
    <row r="10" spans="1:10" x14ac:dyDescent="0.25">
      <c r="A10" s="1" t="s">
        <v>10</v>
      </c>
      <c r="B10" s="1">
        <f>ROUND(22 + ($B$9-1)*6/9,0)</f>
        <v>25</v>
      </c>
    </row>
    <row r="11" spans="1:10" ht="15.75" x14ac:dyDescent="0.25">
      <c r="A11" s="1" t="s">
        <v>11</v>
      </c>
      <c r="B11" s="1">
        <f>ROUND(30 + ($B$9-1)*6/9,0)</f>
        <v>33</v>
      </c>
      <c r="E11" s="17" t="s">
        <v>40</v>
      </c>
      <c r="F11" s="18"/>
      <c r="G11" s="18"/>
      <c r="H11" s="18"/>
      <c r="I11" s="18"/>
      <c r="J11" s="19"/>
    </row>
    <row r="12" spans="1:10" ht="18.75" x14ac:dyDescent="0.3">
      <c r="A12" s="2" t="s">
        <v>12</v>
      </c>
      <c r="B12" s="2">
        <v>1</v>
      </c>
      <c r="C12" s="21" t="s">
        <v>42</v>
      </c>
      <c r="E12" s="7" t="s">
        <v>39</v>
      </c>
      <c r="F12" s="8" t="s">
        <v>33</v>
      </c>
      <c r="G12" s="8" t="s">
        <v>35</v>
      </c>
      <c r="H12" s="8" t="s">
        <v>36</v>
      </c>
      <c r="I12" s="8" t="s">
        <v>34</v>
      </c>
      <c r="J12" s="9" t="s">
        <v>37</v>
      </c>
    </row>
    <row r="13" spans="1:10" x14ac:dyDescent="0.25">
      <c r="A13" s="1" t="s">
        <v>32</v>
      </c>
      <c r="B13" s="5">
        <f>ROUND(((1-$C$13)*$B$12+10*$C$13-1)/9*$B$14,1)</f>
        <v>1</v>
      </c>
      <c r="C13" s="20">
        <v>2</v>
      </c>
      <c r="E13" s="10">
        <f>103/72</f>
        <v>1.4305555555555556</v>
      </c>
      <c r="F13" s="11">
        <v>425</v>
      </c>
      <c r="G13" s="11">
        <v>-1010</v>
      </c>
      <c r="H13" s="11">
        <v>603</v>
      </c>
      <c r="I13" s="11">
        <v>18</v>
      </c>
      <c r="J13" s="12">
        <v>36</v>
      </c>
    </row>
    <row r="14" spans="1:10" x14ac:dyDescent="0.25">
      <c r="A14" s="1" t="s">
        <v>21</v>
      </c>
      <c r="B14" s="5">
        <f>ROUND(0.5 + (B12-1)*2/9,1)</f>
        <v>0.5</v>
      </c>
    </row>
    <row r="15" spans="1:10" x14ac:dyDescent="0.25">
      <c r="A15" s="1"/>
      <c r="B15" s="1"/>
    </row>
    <row r="17" spans="2:13" x14ac:dyDescent="0.25">
      <c r="B17" s="14" t="s">
        <v>13</v>
      </c>
      <c r="C17" s="3" t="s">
        <v>0</v>
      </c>
      <c r="D17" s="3" t="s">
        <v>1</v>
      </c>
      <c r="E17" s="3" t="s">
        <v>2</v>
      </c>
      <c r="F17" s="3" t="s">
        <v>3</v>
      </c>
      <c r="G17" s="3" t="s">
        <v>22</v>
      </c>
      <c r="H17" s="3" t="s">
        <v>4</v>
      </c>
      <c r="I17" s="3" t="s">
        <v>5</v>
      </c>
      <c r="J17"/>
    </row>
    <row r="18" spans="2:13" x14ac:dyDescent="0.25">
      <c r="B18" s="15"/>
      <c r="C18" s="3">
        <v>1</v>
      </c>
      <c r="D18" s="3" t="s">
        <v>6</v>
      </c>
      <c r="E18" s="3">
        <v>0</v>
      </c>
      <c r="F18" s="3">
        <v>120</v>
      </c>
      <c r="G18" s="3">
        <f>+F18</f>
        <v>120</v>
      </c>
      <c r="H18" s="3">
        <v>2</v>
      </c>
      <c r="I18" s="3">
        <v>22</v>
      </c>
      <c r="J18"/>
    </row>
    <row r="19" spans="2:13" x14ac:dyDescent="0.25">
      <c r="B19" s="15"/>
      <c r="C19" s="3">
        <v>2</v>
      </c>
      <c r="D19" s="3" t="s">
        <v>23</v>
      </c>
      <c r="E19" s="3">
        <f>+G18/60</f>
        <v>2</v>
      </c>
      <c r="F19" s="3">
        <v>60</v>
      </c>
      <c r="G19" s="3">
        <f t="shared" ref="G19:G26" si="1">+G18+F19</f>
        <v>180</v>
      </c>
      <c r="H19" s="3">
        <f>$B$7</f>
        <v>5</v>
      </c>
      <c r="I19" s="3">
        <f>ROUND($B$10+($B$11-$B$10)/3,0)</f>
        <v>28</v>
      </c>
      <c r="J19"/>
    </row>
    <row r="20" spans="2:13" x14ac:dyDescent="0.25">
      <c r="B20" s="15"/>
      <c r="C20" s="3">
        <v>3</v>
      </c>
      <c r="D20" s="3" t="s">
        <v>7</v>
      </c>
      <c r="E20" s="3">
        <f t="shared" ref="E20:E26" si="2">+G19/60</f>
        <v>3</v>
      </c>
      <c r="F20" s="3">
        <v>60</v>
      </c>
      <c r="G20" s="3">
        <f t="shared" si="1"/>
        <v>240</v>
      </c>
      <c r="H20" s="3">
        <v>2</v>
      </c>
      <c r="I20" s="3">
        <v>22</v>
      </c>
      <c r="J20"/>
    </row>
    <row r="21" spans="2:13" x14ac:dyDescent="0.25">
      <c r="B21" s="15"/>
      <c r="C21" s="3">
        <v>4</v>
      </c>
      <c r="D21" s="3" t="s">
        <v>24</v>
      </c>
      <c r="E21" s="3">
        <f t="shared" si="2"/>
        <v>4</v>
      </c>
      <c r="F21" s="3">
        <v>60</v>
      </c>
      <c r="G21" s="3">
        <f t="shared" si="1"/>
        <v>300</v>
      </c>
      <c r="H21" s="3">
        <f>ROUND($B$7+($B$8-$B$7)/3,0)</f>
        <v>7</v>
      </c>
      <c r="I21" s="3">
        <f>ROUND($B$10+($B$11-$B$10)/3,0)</f>
        <v>28</v>
      </c>
      <c r="J21"/>
    </row>
    <row r="22" spans="2:13" x14ac:dyDescent="0.25">
      <c r="B22" s="15"/>
      <c r="C22" s="3">
        <v>5</v>
      </c>
      <c r="D22" s="3" t="s">
        <v>7</v>
      </c>
      <c r="E22" s="3">
        <f t="shared" si="2"/>
        <v>5</v>
      </c>
      <c r="F22" s="3">
        <v>60</v>
      </c>
      <c r="G22" s="3">
        <f t="shared" si="1"/>
        <v>360</v>
      </c>
      <c r="H22" s="3">
        <f t="shared" ref="H22" si="3">$B$7</f>
        <v>5</v>
      </c>
      <c r="I22" s="3">
        <f t="shared" ref="I22" si="4">$B$10</f>
        <v>25</v>
      </c>
      <c r="J22"/>
    </row>
    <row r="23" spans="2:13" x14ac:dyDescent="0.25">
      <c r="B23" s="15"/>
      <c r="C23" s="3">
        <v>6</v>
      </c>
      <c r="D23" s="3" t="s">
        <v>23</v>
      </c>
      <c r="E23" s="3">
        <f t="shared" si="2"/>
        <v>6</v>
      </c>
      <c r="F23" s="3">
        <v>60</v>
      </c>
      <c r="G23" s="3">
        <f t="shared" si="1"/>
        <v>420</v>
      </c>
      <c r="H23" s="3">
        <f>ROUND($B$7+($B$8-$B$7)/3,0)</f>
        <v>7</v>
      </c>
      <c r="I23" s="3">
        <f>ROUND($B$10+($B$11-$B$10)*2/3,0)</f>
        <v>30</v>
      </c>
      <c r="J23"/>
    </row>
    <row r="24" spans="2:13" x14ac:dyDescent="0.25">
      <c r="B24" s="15"/>
      <c r="C24" s="3">
        <v>7</v>
      </c>
      <c r="D24" s="3" t="s">
        <v>7</v>
      </c>
      <c r="E24" s="3">
        <f t="shared" si="2"/>
        <v>7</v>
      </c>
      <c r="F24" s="3">
        <v>60</v>
      </c>
      <c r="G24" s="3">
        <f t="shared" si="1"/>
        <v>480</v>
      </c>
      <c r="H24" s="3">
        <f t="shared" ref="H24" si="5">$B$7</f>
        <v>5</v>
      </c>
      <c r="I24" s="3">
        <f t="shared" ref="I24" si="6">$B$10</f>
        <v>25</v>
      </c>
      <c r="J24"/>
    </row>
    <row r="25" spans="2:13" x14ac:dyDescent="0.25">
      <c r="B25" s="15"/>
      <c r="C25" s="3">
        <v>8</v>
      </c>
      <c r="D25" s="3" t="s">
        <v>24</v>
      </c>
      <c r="E25" s="3">
        <f t="shared" si="2"/>
        <v>8</v>
      </c>
      <c r="F25" s="3">
        <v>60</v>
      </c>
      <c r="G25" s="3">
        <f t="shared" si="1"/>
        <v>540</v>
      </c>
      <c r="H25" s="3">
        <f>ROUND($B$7+($B$8-$B$7)*2/3,0)</f>
        <v>8</v>
      </c>
      <c r="I25" s="3">
        <f>ROUND($B$10+($B$11-$B$10)*2/3,0)</f>
        <v>30</v>
      </c>
      <c r="J25"/>
    </row>
    <row r="26" spans="2:13" x14ac:dyDescent="0.25">
      <c r="B26" s="16"/>
      <c r="C26" s="3">
        <v>9</v>
      </c>
      <c r="D26" s="3" t="s">
        <v>7</v>
      </c>
      <c r="E26" s="3">
        <f t="shared" si="2"/>
        <v>9</v>
      </c>
      <c r="F26" s="3">
        <v>60</v>
      </c>
      <c r="G26" s="3">
        <f t="shared" si="1"/>
        <v>600</v>
      </c>
      <c r="H26" s="3">
        <f t="shared" ref="H26" si="7">$B$7</f>
        <v>5</v>
      </c>
      <c r="I26" s="3">
        <f t="shared" ref="I26" si="8">$B$10</f>
        <v>25</v>
      </c>
      <c r="J26"/>
    </row>
    <row r="28" spans="2:13" ht="15" customHeight="1" x14ac:dyDescent="0.25">
      <c r="B28" s="14" t="s">
        <v>26</v>
      </c>
      <c r="C28" s="3" t="s">
        <v>0</v>
      </c>
      <c r="D28" s="3" t="s">
        <v>1</v>
      </c>
      <c r="E28" s="3" t="s">
        <v>2</v>
      </c>
      <c r="F28" s="3" t="s">
        <v>30</v>
      </c>
      <c r="G28" s="3" t="s">
        <v>28</v>
      </c>
      <c r="H28" s="3" t="s">
        <v>38</v>
      </c>
      <c r="I28" s="3" t="s">
        <v>29</v>
      </c>
      <c r="J28" s="3" t="s">
        <v>31</v>
      </c>
      <c r="K28" s="3" t="s">
        <v>22</v>
      </c>
      <c r="L28" s="3" t="s">
        <v>4</v>
      </c>
      <c r="M28" s="3" t="s">
        <v>5</v>
      </c>
    </row>
    <row r="29" spans="2:13" x14ac:dyDescent="0.25">
      <c r="B29" s="15"/>
      <c r="C29" s="3">
        <v>1</v>
      </c>
      <c r="D29" s="3" t="s">
        <v>27</v>
      </c>
      <c r="E29" s="3">
        <f>$G$26/60</f>
        <v>10</v>
      </c>
      <c r="F29" s="3">
        <f>60*$B$13</f>
        <v>60</v>
      </c>
      <c r="G29" s="3">
        <v>1</v>
      </c>
      <c r="H29" s="13">
        <v>0</v>
      </c>
      <c r="I29" s="13">
        <f>ROUND(($F$13*Tableau14[[#This Row],[Temps_Ref]]^4+$G$13*Tableau14[[#This Row],[Temps_Ref]]^3+$H$13*Tableau14[[#This Row],[Temps_Ref]]^2+$I$13)/$J$13,1)</f>
        <v>0.5</v>
      </c>
      <c r="J29" s="3">
        <f>Tableau14[[#This Row],[duree_standard]]*Tableau14[[#This Row],[Correction_DuréeEffortIntense]]</f>
        <v>30</v>
      </c>
      <c r="K29" s="3">
        <f>$G$26+Tableau14[[#This Row],[Durée_Corrigée]]</f>
        <v>630</v>
      </c>
      <c r="L29" s="3">
        <f>$B$8</f>
        <v>10</v>
      </c>
      <c r="M29" s="3">
        <f>$B$11</f>
        <v>33</v>
      </c>
    </row>
    <row r="30" spans="2:13" x14ac:dyDescent="0.25">
      <c r="B30" s="15"/>
      <c r="C30" s="3">
        <v>2</v>
      </c>
      <c r="D30" s="3" t="s">
        <v>7</v>
      </c>
      <c r="E30" s="3">
        <f>IF(K29&gt;$C$3+$C$4,"",Tableau14[[#This Row],[cumul_temps]]/60)</f>
        <v>11</v>
      </c>
      <c r="F30" s="3">
        <f>IF(K29&gt;$C$3+$C$4,"",60*$B$14)</f>
        <v>30</v>
      </c>
      <c r="H30" s="13"/>
      <c r="I30" s="13"/>
      <c r="J30" s="13"/>
      <c r="K30" s="3">
        <f>IF(K29&lt;($B$3+$B$4)*60,K29+Tableau14[[#This Row],[duree_standard]],K29)</f>
        <v>660</v>
      </c>
      <c r="L30" s="3">
        <f>IF(K29&gt;$C$3+$C$4,"",$B$7)</f>
        <v>5</v>
      </c>
      <c r="M30" s="3">
        <f>IF(K29&gt;$C$3+$C$4,"",$B$10)</f>
        <v>25</v>
      </c>
    </row>
    <row r="31" spans="2:13" x14ac:dyDescent="0.25">
      <c r="B31" s="15"/>
      <c r="C31" s="3">
        <v>3</v>
      </c>
      <c r="D31" s="3" t="s">
        <v>27</v>
      </c>
      <c r="E31" s="3">
        <f>IF(K30&gt;$C$3+$C$4,"",Tableau14[[#This Row],[cumul_temps]]/60)</f>
        <v>11.5</v>
      </c>
      <c r="F31" s="3">
        <f>IF(K30&gt;$C$3+$C$4,"",60*$B$13)</f>
        <v>60</v>
      </c>
      <c r="G31" s="3">
        <f>IF(K30&gt;$C$3+$C$4,"",G29+1)</f>
        <v>2</v>
      </c>
      <c r="H31" s="13">
        <f>IF(K30&gt;$C$3+$C$4,"",(K30-$G$26)/$C$4)</f>
        <v>1.7543859649122806E-2</v>
      </c>
      <c r="I31" s="13">
        <f>IF(K30&gt;$C$3+$C$4,"",ROUND(IF(Tableau14[[#This Row],[Temps_Ref]]&gt;0,($F$13*Tableau14[[#This Row],[Temps_Ref]]^4+$G$13*Tableau14[[#This Row],[Temps_Ref]]^3+$H$13*Tableau14[[#This Row],[Temps_Ref]]^2+$I$13)/$J$13,0),1))</f>
        <v>0.5</v>
      </c>
      <c r="J31" s="3">
        <f>IF(K30&gt;$C$3+$C$4,"",Tableau14[[#This Row],[duree_standard]]*Tableau14[[#This Row],[Correction_DuréeEffortIntense]])</f>
        <v>30</v>
      </c>
      <c r="K31" s="3">
        <f>IF(K30&lt;($B$3+$B$4)*60,K30+Tableau14[[#This Row],[Durée_Corrigée]],K30)</f>
        <v>690</v>
      </c>
      <c r="L31" s="3">
        <f>IF(K30&gt;$C$3+$C$4,"",$B$8)</f>
        <v>10</v>
      </c>
      <c r="M31" s="3">
        <f>IF(K30&gt;$C$3+$C$4,"",$B$11)</f>
        <v>33</v>
      </c>
    </row>
    <row r="32" spans="2:13" x14ac:dyDescent="0.25">
      <c r="B32" s="15"/>
      <c r="C32" s="3">
        <v>4</v>
      </c>
      <c r="D32" s="3" t="s">
        <v>7</v>
      </c>
      <c r="E32" s="3">
        <f>IF(K31&gt;$C$3+$C$4,"",Tableau14[[#This Row],[cumul_temps]]/60)</f>
        <v>12</v>
      </c>
      <c r="F32" s="3">
        <f t="shared" ref="F32" si="9">IF(K31&gt;$C$3+$C$4,"",60*$B$14)</f>
        <v>30</v>
      </c>
      <c r="H32" s="13"/>
      <c r="I32" s="13"/>
      <c r="J32" s="13"/>
      <c r="K32" s="3">
        <f>IF(K31&lt;($B$3+$B$4)*60,K31+Tableau14[[#This Row],[duree_standard]],K31)</f>
        <v>720</v>
      </c>
      <c r="L32" s="3">
        <f t="shared" ref="L32:L63" si="10">IF(K31&gt;$C$3+$C$4,"",$B$7)</f>
        <v>5</v>
      </c>
      <c r="M32" s="3">
        <f t="shared" ref="M32:M63" si="11">IF(K31&gt;$C$3+$C$4,"",$B$10)</f>
        <v>25</v>
      </c>
    </row>
    <row r="33" spans="2:13" x14ac:dyDescent="0.25">
      <c r="B33" s="15"/>
      <c r="C33" s="3">
        <v>5</v>
      </c>
      <c r="D33" s="3" t="s">
        <v>27</v>
      </c>
      <c r="E33" s="3">
        <f>IF(K32&gt;$C$3+$C$4,"",Tableau14[[#This Row],[cumul_temps]]/60)</f>
        <v>12.5</v>
      </c>
      <c r="F33" s="3">
        <f t="shared" ref="F33" si="12">IF(K32&gt;$C$3+$C$4,"",60*$B$13)</f>
        <v>60</v>
      </c>
      <c r="G33" s="3">
        <f t="shared" ref="G33" si="13">IF(K32&gt;$C$3+$C$4,"",G31+1)</f>
        <v>3</v>
      </c>
      <c r="H33" s="13">
        <f t="shared" ref="H33" si="14">IF(K32&gt;$C$3+$C$4,"",(K32-$G$26)/$C$4)</f>
        <v>3.5087719298245612E-2</v>
      </c>
      <c r="I33" s="13">
        <f>IF(K32&gt;$C$3+$C$4,"",ROUND(IF(Tableau14[[#This Row],[Temps_Ref]]&gt;0,($F$13*Tableau14[[#This Row],[Temps_Ref]]^4+$G$13*Tableau14[[#This Row],[Temps_Ref]]^3+$H$13*Tableau14[[#This Row],[Temps_Ref]]^2+$I$13)/$J$13,0),1))</f>
        <v>0.5</v>
      </c>
      <c r="J33" s="3">
        <f>IF(K32&gt;$C$3+$C$4,"",Tableau14[[#This Row],[duree_standard]]*Tableau14[[#This Row],[Correction_DuréeEffortIntense]])</f>
        <v>30</v>
      </c>
      <c r="K33" s="3">
        <f>IF(K32&lt;($B$3+$B$4)*60,K32+Tableau14[[#This Row],[Durée_Corrigée]],K32)</f>
        <v>750</v>
      </c>
      <c r="L33" s="3">
        <f t="shared" ref="L33:L64" si="15">IF(K32&gt;$C$3+$C$4,"",$B$8)</f>
        <v>10</v>
      </c>
      <c r="M33" s="3">
        <f t="shared" ref="M33:M64" si="16">IF(K32&gt;$C$3+$C$4,"",$B$11)</f>
        <v>33</v>
      </c>
    </row>
    <row r="34" spans="2:13" x14ac:dyDescent="0.25">
      <c r="B34" s="15"/>
      <c r="C34" s="3">
        <v>6</v>
      </c>
      <c r="D34" s="3" t="s">
        <v>7</v>
      </c>
      <c r="E34" s="3">
        <f>IF(K33&gt;$C$3+$C$4,"",Tableau14[[#This Row],[cumul_temps]]/60)</f>
        <v>13</v>
      </c>
      <c r="F34" s="3">
        <f t="shared" ref="F34" si="17">IF(K33&gt;$C$3+$C$4,"",60*$B$14)</f>
        <v>30</v>
      </c>
      <c r="H34" s="13"/>
      <c r="I34" s="13"/>
      <c r="J34" s="13"/>
      <c r="K34" s="3">
        <f>IF(K33&lt;($B$3+$B$4)*60,K33+Tableau14[[#This Row],[duree_standard]],K33)</f>
        <v>780</v>
      </c>
      <c r="L34" s="3">
        <f t="shared" ref="L34:L65" si="18">IF(K33&gt;$C$3+$C$4,"",$B$7)</f>
        <v>5</v>
      </c>
      <c r="M34" s="3">
        <f t="shared" ref="M34:M65" si="19">IF(K33&gt;$C$3+$C$4,"",$B$10)</f>
        <v>25</v>
      </c>
    </row>
    <row r="35" spans="2:13" x14ac:dyDescent="0.25">
      <c r="B35" s="15"/>
      <c r="C35" s="3">
        <v>7</v>
      </c>
      <c r="D35" s="3" t="s">
        <v>27</v>
      </c>
      <c r="E35" s="3">
        <f>IF(K34&gt;$C$3+$C$4,"",Tableau14[[#This Row],[cumul_temps]]/60)</f>
        <v>13.5</v>
      </c>
      <c r="F35" s="3">
        <f t="shared" ref="F35" si="20">IF(K34&gt;$C$3+$C$4,"",60*$B$13)</f>
        <v>60</v>
      </c>
      <c r="G35" s="3">
        <f t="shared" ref="G35" si="21">IF(K34&gt;$C$3+$C$4,"",G33+1)</f>
        <v>4</v>
      </c>
      <c r="H35" s="13">
        <f t="shared" ref="H35" si="22">IF(K34&gt;$C$3+$C$4,"",(K34-$G$26)/$C$4)</f>
        <v>5.2631578947368418E-2</v>
      </c>
      <c r="I35" s="13">
        <f>IF(K34&gt;$C$3+$C$4,"",ROUND(IF(Tableau14[[#This Row],[Temps_Ref]]&gt;0,($F$13*Tableau14[[#This Row],[Temps_Ref]]^4+$G$13*Tableau14[[#This Row],[Temps_Ref]]^3+$H$13*Tableau14[[#This Row],[Temps_Ref]]^2+$I$13)/$J$13,0),1))</f>
        <v>0.5</v>
      </c>
      <c r="J35" s="3">
        <f>IF(K34&gt;$C$3+$C$4,"",Tableau14[[#This Row],[duree_standard]]*Tableau14[[#This Row],[Correction_DuréeEffortIntense]])</f>
        <v>30</v>
      </c>
      <c r="K35" s="3">
        <f>IF(K34&lt;($B$3+$B$4)*60,K34+Tableau14[[#This Row],[Durée_Corrigée]],K34)</f>
        <v>810</v>
      </c>
      <c r="L35" s="3">
        <f t="shared" ref="L35:L66" si="23">IF(K34&gt;$C$3+$C$4,"",$B$8)</f>
        <v>10</v>
      </c>
      <c r="M35" s="3">
        <f t="shared" ref="M35:M66" si="24">IF(K34&gt;$C$3+$C$4,"",$B$11)</f>
        <v>33</v>
      </c>
    </row>
    <row r="36" spans="2:13" x14ac:dyDescent="0.25">
      <c r="B36" s="15"/>
      <c r="C36" s="3">
        <v>8</v>
      </c>
      <c r="D36" s="3" t="s">
        <v>7</v>
      </c>
      <c r="E36" s="3">
        <f>IF(K35&gt;$C$3+$C$4,"",Tableau14[[#This Row],[cumul_temps]]/60)</f>
        <v>14</v>
      </c>
      <c r="F36" s="3">
        <f t="shared" ref="F36" si="25">IF(K35&gt;$C$3+$C$4,"",60*$B$14)</f>
        <v>30</v>
      </c>
      <c r="H36" s="13"/>
      <c r="I36" s="13"/>
      <c r="J36" s="13"/>
      <c r="K36" s="3">
        <f>IF(K35&lt;($B$3+$B$4)*60,K35+Tableau14[[#This Row],[duree_standard]],K35)</f>
        <v>840</v>
      </c>
      <c r="L36" s="3">
        <f t="shared" ref="L36:L67" si="26">IF(K35&gt;$C$3+$C$4,"",$B$7)</f>
        <v>5</v>
      </c>
      <c r="M36" s="3">
        <f t="shared" ref="M36:M67" si="27">IF(K35&gt;$C$3+$C$4,"",$B$10)</f>
        <v>25</v>
      </c>
    </row>
    <row r="37" spans="2:13" x14ac:dyDescent="0.25">
      <c r="B37" s="15"/>
      <c r="C37" s="3">
        <v>9</v>
      </c>
      <c r="D37" s="3" t="s">
        <v>27</v>
      </c>
      <c r="E37" s="3">
        <f>IF(K36&gt;$C$3+$C$4,"",Tableau14[[#This Row],[cumul_temps]]/60)</f>
        <v>14.6</v>
      </c>
      <c r="F37" s="3">
        <f t="shared" ref="F37" si="28">IF(K36&gt;$C$3+$C$4,"",60*$B$13)</f>
        <v>60</v>
      </c>
      <c r="G37" s="3">
        <f t="shared" ref="G37" si="29">IF(K36&gt;$C$3+$C$4,"",G35+1)</f>
        <v>5</v>
      </c>
      <c r="H37" s="13">
        <f t="shared" ref="H37" si="30">IF(K36&gt;$C$3+$C$4,"",(K36-$G$26)/$C$4)</f>
        <v>7.0175438596491224E-2</v>
      </c>
      <c r="I37" s="13">
        <f>IF(K36&gt;$C$3+$C$4,"",ROUND(IF(Tableau14[[#This Row],[Temps_Ref]]&gt;0,($F$13*Tableau14[[#This Row],[Temps_Ref]]^4+$G$13*Tableau14[[#This Row],[Temps_Ref]]^3+$H$13*Tableau14[[#This Row],[Temps_Ref]]^2+$I$13)/$J$13,0),1))</f>
        <v>0.6</v>
      </c>
      <c r="J37" s="3">
        <f>IF(K36&gt;$C$3+$C$4,"",Tableau14[[#This Row],[duree_standard]]*Tableau14[[#This Row],[Correction_DuréeEffortIntense]])</f>
        <v>36</v>
      </c>
      <c r="K37" s="3">
        <f>IF(K36&lt;($B$3+$B$4)*60,K36+Tableau14[[#This Row],[Durée_Corrigée]],K36)</f>
        <v>876</v>
      </c>
      <c r="L37" s="3">
        <f t="shared" ref="L37:L68" si="31">IF(K36&gt;$C$3+$C$4,"",$B$8)</f>
        <v>10</v>
      </c>
      <c r="M37" s="3">
        <f t="shared" ref="M37:M68" si="32">IF(K36&gt;$C$3+$C$4,"",$B$11)</f>
        <v>33</v>
      </c>
    </row>
    <row r="38" spans="2:13" x14ac:dyDescent="0.25">
      <c r="B38" s="15"/>
      <c r="C38" s="3">
        <v>10</v>
      </c>
      <c r="D38" s="3" t="s">
        <v>7</v>
      </c>
      <c r="E38" s="3">
        <f>IF(K37&gt;$C$3+$C$4,"",Tableau14[[#This Row],[cumul_temps]]/60)</f>
        <v>15.1</v>
      </c>
      <c r="F38" s="3">
        <f t="shared" ref="F38" si="33">IF(K37&gt;$C$3+$C$4,"",60*$B$14)</f>
        <v>30</v>
      </c>
      <c r="H38" s="13"/>
      <c r="I38" s="13"/>
      <c r="J38" s="13"/>
      <c r="K38" s="3">
        <f>IF(K37&lt;($B$3+$B$4)*60,K37+Tableau14[[#This Row],[duree_standard]],K37)</f>
        <v>906</v>
      </c>
      <c r="L38" s="3">
        <f t="shared" ref="L38:L69" si="34">IF(K37&gt;$C$3+$C$4,"",$B$7)</f>
        <v>5</v>
      </c>
      <c r="M38" s="3">
        <f t="shared" ref="M38:M69" si="35">IF(K37&gt;$C$3+$C$4,"",$B$10)</f>
        <v>25</v>
      </c>
    </row>
    <row r="39" spans="2:13" x14ac:dyDescent="0.25">
      <c r="B39" s="15"/>
      <c r="C39" s="3">
        <v>11</v>
      </c>
      <c r="D39" s="3" t="s">
        <v>27</v>
      </c>
      <c r="E39" s="3">
        <f>IF(K38&gt;$C$3+$C$4,"",Tableau14[[#This Row],[cumul_temps]]/60)</f>
        <v>15.7</v>
      </c>
      <c r="F39" s="3">
        <f t="shared" ref="F39" si="36">IF(K38&gt;$C$3+$C$4,"",60*$B$13)</f>
        <v>60</v>
      </c>
      <c r="G39" s="3">
        <f t="shared" ref="G39" si="37">IF(K38&gt;$C$3+$C$4,"",G37+1)</f>
        <v>6</v>
      </c>
      <c r="H39" s="13">
        <f t="shared" ref="H39" si="38">IF(K38&gt;$C$3+$C$4,"",(K38-$G$26)/$C$4)</f>
        <v>8.9473684210526316E-2</v>
      </c>
      <c r="I39" s="13">
        <f>IF(K38&gt;$C$3+$C$4,"",ROUND(IF(Tableau14[[#This Row],[Temps_Ref]]&gt;0,($F$13*Tableau14[[#This Row],[Temps_Ref]]^4+$G$13*Tableau14[[#This Row],[Temps_Ref]]^3+$H$13*Tableau14[[#This Row],[Temps_Ref]]^2+$I$13)/$J$13,0),1))</f>
        <v>0.6</v>
      </c>
      <c r="J39" s="3">
        <f>IF(K38&gt;$C$3+$C$4,"",Tableau14[[#This Row],[duree_standard]]*Tableau14[[#This Row],[Correction_DuréeEffortIntense]])</f>
        <v>36</v>
      </c>
      <c r="K39" s="3">
        <f>IF(K38&lt;($B$3+$B$4)*60,K38+Tableau14[[#This Row],[Durée_Corrigée]],K38)</f>
        <v>942</v>
      </c>
      <c r="L39" s="3">
        <f t="shared" ref="L39:L70" si="39">IF(K38&gt;$C$3+$C$4,"",$B$8)</f>
        <v>10</v>
      </c>
      <c r="M39" s="3">
        <f t="shared" ref="M39:M70" si="40">IF(K38&gt;$C$3+$C$4,"",$B$11)</f>
        <v>33</v>
      </c>
    </row>
    <row r="40" spans="2:13" x14ac:dyDescent="0.25">
      <c r="B40" s="15"/>
      <c r="C40" s="3">
        <v>12</v>
      </c>
      <c r="D40" s="3" t="s">
        <v>7</v>
      </c>
      <c r="E40" s="3">
        <f>IF(K39&gt;$C$3+$C$4,"",Tableau14[[#This Row],[cumul_temps]]/60)</f>
        <v>16.2</v>
      </c>
      <c r="F40" s="3">
        <f t="shared" ref="F40" si="41">IF(K39&gt;$C$3+$C$4,"",60*$B$14)</f>
        <v>30</v>
      </c>
      <c r="H40" s="13"/>
      <c r="I40" s="13"/>
      <c r="J40" s="13"/>
      <c r="K40" s="3">
        <f>IF(K39&lt;($B$3+$B$4)*60,K39+Tableau14[[#This Row],[duree_standard]],K39)</f>
        <v>972</v>
      </c>
      <c r="L40" s="3">
        <f t="shared" ref="L40:L71" si="42">IF(K39&gt;$C$3+$C$4,"",$B$7)</f>
        <v>5</v>
      </c>
      <c r="M40" s="3">
        <f t="shared" ref="M40:M71" si="43">IF(K39&gt;$C$3+$C$4,"",$B$10)</f>
        <v>25</v>
      </c>
    </row>
    <row r="41" spans="2:13" x14ac:dyDescent="0.25">
      <c r="B41" s="15"/>
      <c r="C41" s="3">
        <v>13</v>
      </c>
      <c r="D41" s="3" t="s">
        <v>27</v>
      </c>
      <c r="E41" s="3">
        <f>IF(K40&gt;$C$3+$C$4,"",Tableau14[[#This Row],[cumul_temps]]/60)</f>
        <v>16.899999999999999</v>
      </c>
      <c r="F41" s="3">
        <f t="shared" ref="F41" si="44">IF(K40&gt;$C$3+$C$4,"",60*$B$13)</f>
        <v>60</v>
      </c>
      <c r="G41" s="3">
        <f t="shared" ref="G41" si="45">IF(K40&gt;$C$3+$C$4,"",G39+1)</f>
        <v>7</v>
      </c>
      <c r="H41" s="13">
        <f t="shared" ref="H41" si="46">IF(K40&gt;$C$3+$C$4,"",(K40-$G$26)/$C$4)</f>
        <v>0.10877192982456141</v>
      </c>
      <c r="I41" s="13">
        <f>IF(K40&gt;$C$3+$C$4,"",ROUND(IF(Tableau14[[#This Row],[Temps_Ref]]&gt;0,($F$13*Tableau14[[#This Row],[Temps_Ref]]^4+$G$13*Tableau14[[#This Row],[Temps_Ref]]^3+$H$13*Tableau14[[#This Row],[Temps_Ref]]^2+$I$13)/$J$13,0),1))</f>
        <v>0.7</v>
      </c>
      <c r="J41" s="3">
        <f>IF(K40&gt;$C$3+$C$4,"",Tableau14[[#This Row],[duree_standard]]*Tableau14[[#This Row],[Correction_DuréeEffortIntense]])</f>
        <v>42</v>
      </c>
      <c r="K41" s="3">
        <f>IF(K40&lt;($B$3+$B$4)*60,K40+Tableau14[[#This Row],[Durée_Corrigée]],K40)</f>
        <v>1014</v>
      </c>
      <c r="L41" s="3">
        <f t="shared" ref="L41:L72" si="47">IF(K40&gt;$C$3+$C$4,"",$B$8)</f>
        <v>10</v>
      </c>
      <c r="M41" s="3">
        <f t="shared" ref="M41:M72" si="48">IF(K40&gt;$C$3+$C$4,"",$B$11)</f>
        <v>33</v>
      </c>
    </row>
    <row r="42" spans="2:13" x14ac:dyDescent="0.25">
      <c r="B42" s="15"/>
      <c r="C42" s="3">
        <v>14</v>
      </c>
      <c r="D42" s="3" t="s">
        <v>7</v>
      </c>
      <c r="E42" s="3">
        <f>IF(K41&gt;$C$3+$C$4,"",Tableau14[[#This Row],[cumul_temps]]/60)</f>
        <v>17.399999999999999</v>
      </c>
      <c r="F42" s="3">
        <f t="shared" ref="F42" si="49">IF(K41&gt;$C$3+$C$4,"",60*$B$14)</f>
        <v>30</v>
      </c>
      <c r="H42" s="13"/>
      <c r="I42" s="13"/>
      <c r="J42" s="13"/>
      <c r="K42" s="3">
        <f>IF(K41&lt;($B$3+$B$4)*60,K41+Tableau14[[#This Row],[duree_standard]],K41)</f>
        <v>1044</v>
      </c>
      <c r="L42" s="3">
        <f t="shared" ref="L42:L73" si="50">IF(K41&gt;$C$3+$C$4,"",$B$7)</f>
        <v>5</v>
      </c>
      <c r="M42" s="3">
        <f t="shared" ref="M42:M73" si="51">IF(K41&gt;$C$3+$C$4,"",$B$10)</f>
        <v>25</v>
      </c>
    </row>
    <row r="43" spans="2:13" x14ac:dyDescent="0.25">
      <c r="B43" s="15"/>
      <c r="C43" s="3">
        <v>15</v>
      </c>
      <c r="D43" s="3" t="s">
        <v>27</v>
      </c>
      <c r="E43" s="3">
        <f>IF(K42&gt;$C$3+$C$4,"",Tableau14[[#This Row],[cumul_temps]]/60)</f>
        <v>18.100000000000001</v>
      </c>
      <c r="F43" s="3">
        <f t="shared" ref="F43" si="52">IF(K42&gt;$C$3+$C$4,"",60*$B$13)</f>
        <v>60</v>
      </c>
      <c r="G43" s="3">
        <f t="shared" ref="G43" si="53">IF(K42&gt;$C$3+$C$4,"",G41+1)</f>
        <v>8</v>
      </c>
      <c r="H43" s="13">
        <f t="shared" ref="H43" si="54">IF(K42&gt;$C$3+$C$4,"",(K42-$G$26)/$C$4)</f>
        <v>0.12982456140350876</v>
      </c>
      <c r="I43" s="13">
        <f>IF(K42&gt;$C$3+$C$4,"",ROUND(IF(Tableau14[[#This Row],[Temps_Ref]]&gt;0,($F$13*Tableau14[[#This Row],[Temps_Ref]]^4+$G$13*Tableau14[[#This Row],[Temps_Ref]]^3+$H$13*Tableau14[[#This Row],[Temps_Ref]]^2+$I$13)/$J$13,0),1))</f>
        <v>0.7</v>
      </c>
      <c r="J43" s="3">
        <f>IF(K42&gt;$C$3+$C$4,"",Tableau14[[#This Row],[duree_standard]]*Tableau14[[#This Row],[Correction_DuréeEffortIntense]])</f>
        <v>42</v>
      </c>
      <c r="K43" s="3">
        <f>IF(K42&lt;($B$3+$B$4)*60,K42+Tableau14[[#This Row],[Durée_Corrigée]],K42)</f>
        <v>1086</v>
      </c>
      <c r="L43" s="3">
        <f t="shared" ref="L43:L74" si="55">IF(K42&gt;$C$3+$C$4,"",$B$8)</f>
        <v>10</v>
      </c>
      <c r="M43" s="3">
        <f t="shared" ref="M43:M74" si="56">IF(K42&gt;$C$3+$C$4,"",$B$11)</f>
        <v>33</v>
      </c>
    </row>
    <row r="44" spans="2:13" x14ac:dyDescent="0.25">
      <c r="B44" s="15"/>
      <c r="C44" s="3">
        <v>16</v>
      </c>
      <c r="D44" s="3" t="s">
        <v>7</v>
      </c>
      <c r="E44" s="3">
        <f>IF(K43&gt;$C$3+$C$4,"",Tableau14[[#This Row],[cumul_temps]]/60)</f>
        <v>18.600000000000001</v>
      </c>
      <c r="F44" s="3">
        <f t="shared" ref="F44" si="57">IF(K43&gt;$C$3+$C$4,"",60*$B$14)</f>
        <v>30</v>
      </c>
      <c r="H44" s="13"/>
      <c r="I44" s="13"/>
      <c r="J44" s="13"/>
      <c r="K44" s="3">
        <f>IF(K43&lt;($B$3+$B$4)*60,K43+Tableau14[[#This Row],[duree_standard]],K43)</f>
        <v>1116</v>
      </c>
      <c r="L44" s="3">
        <f t="shared" ref="L44:L75" si="58">IF(K43&gt;$C$3+$C$4,"",$B$7)</f>
        <v>5</v>
      </c>
      <c r="M44" s="3">
        <f t="shared" ref="M44:M75" si="59">IF(K43&gt;$C$3+$C$4,"",$B$10)</f>
        <v>25</v>
      </c>
    </row>
    <row r="45" spans="2:13" x14ac:dyDescent="0.25">
      <c r="B45" s="15"/>
      <c r="C45" s="3">
        <v>17</v>
      </c>
      <c r="D45" s="3" t="s">
        <v>27</v>
      </c>
      <c r="E45" s="3">
        <f>IF(K44&gt;$C$3+$C$4,"",Tableau14[[#This Row],[cumul_temps]]/60)</f>
        <v>19.399999999999999</v>
      </c>
      <c r="F45" s="3">
        <f t="shared" ref="F45" si="60">IF(K44&gt;$C$3+$C$4,"",60*$B$13)</f>
        <v>60</v>
      </c>
      <c r="G45" s="3">
        <f t="shared" ref="G45" si="61">IF(K44&gt;$C$3+$C$4,"",G43+1)</f>
        <v>9</v>
      </c>
      <c r="H45" s="13">
        <f t="shared" ref="H45" si="62">IF(K44&gt;$C$3+$C$4,"",(K44-$G$26)/$C$4)</f>
        <v>0.15087719298245614</v>
      </c>
      <c r="I45" s="13">
        <f>IF(K44&gt;$C$3+$C$4,"",ROUND(IF(Tableau14[[#This Row],[Temps_Ref]]&gt;0,($F$13*Tableau14[[#This Row],[Temps_Ref]]^4+$G$13*Tableau14[[#This Row],[Temps_Ref]]^3+$H$13*Tableau14[[#This Row],[Temps_Ref]]^2+$I$13)/$J$13,0),1))</f>
        <v>0.8</v>
      </c>
      <c r="J45" s="3">
        <f>IF(K44&gt;$C$3+$C$4,"",Tableau14[[#This Row],[duree_standard]]*Tableau14[[#This Row],[Correction_DuréeEffortIntense]])</f>
        <v>48</v>
      </c>
      <c r="K45" s="3">
        <f>IF(K44&lt;($B$3+$B$4)*60,K44+Tableau14[[#This Row],[Durée_Corrigée]],K44)</f>
        <v>1164</v>
      </c>
      <c r="L45" s="3">
        <f t="shared" ref="L45:L76" si="63">IF(K44&gt;$C$3+$C$4,"",$B$8)</f>
        <v>10</v>
      </c>
      <c r="M45" s="3">
        <f t="shared" ref="M45:M76" si="64">IF(K44&gt;$C$3+$C$4,"",$B$11)</f>
        <v>33</v>
      </c>
    </row>
    <row r="46" spans="2:13" x14ac:dyDescent="0.25">
      <c r="B46" s="15"/>
      <c r="C46" s="3">
        <v>18</v>
      </c>
      <c r="D46" s="3" t="s">
        <v>7</v>
      </c>
      <c r="E46" s="3">
        <f>IF(K45&gt;$C$3+$C$4,"",Tableau14[[#This Row],[cumul_temps]]/60)</f>
        <v>19.899999999999999</v>
      </c>
      <c r="F46" s="3">
        <f t="shared" ref="F46" si="65">IF(K45&gt;$C$3+$C$4,"",60*$B$14)</f>
        <v>30</v>
      </c>
      <c r="H46" s="13"/>
      <c r="I46" s="13"/>
      <c r="J46" s="13"/>
      <c r="K46" s="3">
        <f>IF(K45&lt;($B$3+$B$4)*60,K45+Tableau14[[#This Row],[duree_standard]],K45)</f>
        <v>1194</v>
      </c>
      <c r="L46" s="3">
        <f t="shared" ref="L46:L77" si="66">IF(K45&gt;$C$3+$C$4,"",$B$7)</f>
        <v>5</v>
      </c>
      <c r="M46" s="3">
        <f t="shared" ref="M46:M77" si="67">IF(K45&gt;$C$3+$C$4,"",$B$10)</f>
        <v>25</v>
      </c>
    </row>
    <row r="47" spans="2:13" x14ac:dyDescent="0.25">
      <c r="B47" s="15"/>
      <c r="C47" s="3">
        <v>19</v>
      </c>
      <c r="D47" s="3" t="s">
        <v>27</v>
      </c>
      <c r="E47" s="3">
        <f>IF(K46&gt;$C$3+$C$4,"",Tableau14[[#This Row],[cumul_temps]]/60)</f>
        <v>20.8</v>
      </c>
      <c r="F47" s="3">
        <f t="shared" ref="F47" si="68">IF(K46&gt;$C$3+$C$4,"",60*$B$13)</f>
        <v>60</v>
      </c>
      <c r="G47" s="3">
        <f t="shared" ref="G47" si="69">IF(K46&gt;$C$3+$C$4,"",G45+1)</f>
        <v>10</v>
      </c>
      <c r="H47" s="13">
        <f t="shared" ref="H47" si="70">IF(K46&gt;$C$3+$C$4,"",(K46-$G$26)/$C$4)</f>
        <v>0.1736842105263158</v>
      </c>
      <c r="I47" s="13">
        <f>IF(K46&gt;$C$3+$C$4,"",ROUND(IF(Tableau14[[#This Row],[Temps_Ref]]&gt;0,($F$13*Tableau14[[#This Row],[Temps_Ref]]^4+$G$13*Tableau14[[#This Row],[Temps_Ref]]^3+$H$13*Tableau14[[#This Row],[Temps_Ref]]^2+$I$13)/$J$13,0),1))</f>
        <v>0.9</v>
      </c>
      <c r="J47" s="3">
        <f>IF(K46&gt;$C$3+$C$4,"",Tableau14[[#This Row],[duree_standard]]*Tableau14[[#This Row],[Correction_DuréeEffortIntense]])</f>
        <v>54</v>
      </c>
      <c r="K47" s="3">
        <f>IF(K46&lt;($B$3+$B$4)*60,K46+Tableau14[[#This Row],[Durée_Corrigée]],K46)</f>
        <v>1248</v>
      </c>
      <c r="L47" s="3">
        <f t="shared" ref="L47:L78" si="71">IF(K46&gt;$C$3+$C$4,"",$B$8)</f>
        <v>10</v>
      </c>
      <c r="M47" s="3">
        <f t="shared" ref="M47:M78" si="72">IF(K46&gt;$C$3+$C$4,"",$B$11)</f>
        <v>33</v>
      </c>
    </row>
    <row r="48" spans="2:13" x14ac:dyDescent="0.25">
      <c r="B48" s="15"/>
      <c r="C48" s="3">
        <v>20</v>
      </c>
      <c r="D48" s="3" t="s">
        <v>7</v>
      </c>
      <c r="E48" s="3">
        <f>IF(K47&gt;$C$3+$C$4,"",Tableau14[[#This Row],[cumul_temps]]/60)</f>
        <v>21.3</v>
      </c>
      <c r="F48" s="3">
        <f t="shared" ref="F48" si="73">IF(K47&gt;$C$3+$C$4,"",60*$B$14)</f>
        <v>30</v>
      </c>
      <c r="H48" s="13"/>
      <c r="I48" s="13"/>
      <c r="J48" s="13"/>
      <c r="K48" s="3">
        <f>IF(K47&lt;($B$3+$B$4)*60,K47+Tableau14[[#This Row],[duree_standard]],K47)</f>
        <v>1278</v>
      </c>
      <c r="L48" s="3">
        <f t="shared" ref="L48:L79" si="74">IF(K47&gt;$C$3+$C$4,"",$B$7)</f>
        <v>5</v>
      </c>
      <c r="M48" s="3">
        <f t="shared" ref="M48:M79" si="75">IF(K47&gt;$C$3+$C$4,"",$B$10)</f>
        <v>25</v>
      </c>
    </row>
    <row r="49" spans="2:13" x14ac:dyDescent="0.25">
      <c r="B49" s="15"/>
      <c r="C49" s="3">
        <v>21</v>
      </c>
      <c r="D49" s="3" t="s">
        <v>27</v>
      </c>
      <c r="E49" s="3">
        <f>IF(K48&gt;$C$3+$C$4,"",Tableau14[[#This Row],[cumul_temps]]/60)</f>
        <v>22.3</v>
      </c>
      <c r="F49" s="3">
        <f t="shared" ref="F49" si="76">IF(K48&gt;$C$3+$C$4,"",60*$B$13)</f>
        <v>60</v>
      </c>
      <c r="G49" s="3">
        <f t="shared" ref="G49" si="77">IF(K48&gt;$C$3+$C$4,"",G47+1)</f>
        <v>11</v>
      </c>
      <c r="H49" s="13">
        <f t="shared" ref="H49" si="78">IF(K48&gt;$C$3+$C$4,"",(K48-$G$26)/$C$4)</f>
        <v>0.19824561403508772</v>
      </c>
      <c r="I49" s="13">
        <f>IF(K48&gt;$C$3+$C$4,"",ROUND(IF(Tableau14[[#This Row],[Temps_Ref]]&gt;0,($F$13*Tableau14[[#This Row],[Temps_Ref]]^4+$G$13*Tableau14[[#This Row],[Temps_Ref]]^3+$H$13*Tableau14[[#This Row],[Temps_Ref]]^2+$I$13)/$J$13,0),1))</f>
        <v>1</v>
      </c>
      <c r="J49" s="3">
        <f>IF(K48&gt;$C$3+$C$4,"",Tableau14[[#This Row],[duree_standard]]*Tableau14[[#This Row],[Correction_DuréeEffortIntense]])</f>
        <v>60</v>
      </c>
      <c r="K49" s="3">
        <f>IF(K48&lt;($B$3+$B$4)*60,K48+Tableau14[[#This Row],[Durée_Corrigée]],K48)</f>
        <v>1338</v>
      </c>
      <c r="L49" s="3">
        <f t="shared" ref="L49:L96" si="79">IF(K48&gt;$C$3+$C$4,"",$B$8)</f>
        <v>10</v>
      </c>
      <c r="M49" s="3">
        <f t="shared" ref="M49:M96" si="80">IF(K48&gt;$C$3+$C$4,"",$B$11)</f>
        <v>33</v>
      </c>
    </row>
    <row r="50" spans="2:13" x14ac:dyDescent="0.25">
      <c r="B50" s="15"/>
      <c r="C50" s="3">
        <v>22</v>
      </c>
      <c r="D50" s="3" t="s">
        <v>7</v>
      </c>
      <c r="E50" s="3">
        <f>IF(K49&gt;$C$3+$C$4,"",Tableau14[[#This Row],[cumul_temps]]/60)</f>
        <v>22.8</v>
      </c>
      <c r="F50" s="3">
        <f t="shared" ref="F50" si="81">IF(K49&gt;$C$3+$C$4,"",60*$B$14)</f>
        <v>30</v>
      </c>
      <c r="H50" s="13"/>
      <c r="I50" s="13"/>
      <c r="J50" s="13"/>
      <c r="K50" s="3">
        <f>IF(K49&lt;($B$3+$B$4)*60,K49+Tableau14[[#This Row],[duree_standard]],K49)</f>
        <v>1368</v>
      </c>
      <c r="L50" s="3">
        <f t="shared" ref="L50:L96" si="82">IF(K49&gt;$C$3+$C$4,"",$B$7)</f>
        <v>5</v>
      </c>
      <c r="M50" s="3">
        <f t="shared" ref="M50:M96" si="83">IF(K49&gt;$C$3+$C$4,"",$B$10)</f>
        <v>25</v>
      </c>
    </row>
    <row r="51" spans="2:13" x14ac:dyDescent="0.25">
      <c r="B51" s="15"/>
      <c r="C51" s="3">
        <v>23</v>
      </c>
      <c r="D51" s="3" t="s">
        <v>27</v>
      </c>
      <c r="E51" s="3">
        <f>IF(K50&gt;$C$3+$C$4,"",Tableau14[[#This Row],[cumul_temps]]/60)</f>
        <v>23.9</v>
      </c>
      <c r="F51" s="3">
        <f t="shared" ref="F51" si="84">IF(K50&gt;$C$3+$C$4,"",60*$B$13)</f>
        <v>60</v>
      </c>
      <c r="G51" s="3">
        <f t="shared" ref="G51" si="85">IF(K50&gt;$C$3+$C$4,"",G49+1)</f>
        <v>12</v>
      </c>
      <c r="H51" s="13">
        <f t="shared" ref="H51" si="86">IF(K50&gt;$C$3+$C$4,"",(K50-$G$26)/$C$4)</f>
        <v>0.22456140350877193</v>
      </c>
      <c r="I51" s="13">
        <f>IF(K50&gt;$C$3+$C$4,"",ROUND(IF(Tableau14[[#This Row],[Temps_Ref]]&gt;0,($F$13*Tableau14[[#This Row],[Temps_Ref]]^4+$G$13*Tableau14[[#This Row],[Temps_Ref]]^3+$H$13*Tableau14[[#This Row],[Temps_Ref]]^2+$I$13)/$J$13,0),1))</f>
        <v>1.1000000000000001</v>
      </c>
      <c r="J51" s="3">
        <f>IF(K50&gt;$C$3+$C$4,"",Tableau14[[#This Row],[duree_standard]]*Tableau14[[#This Row],[Correction_DuréeEffortIntense]])</f>
        <v>66</v>
      </c>
      <c r="K51" s="3">
        <f>IF(K50&lt;($B$3+$B$4)*60,K50+Tableau14[[#This Row],[Durée_Corrigée]],K50)</f>
        <v>1434</v>
      </c>
      <c r="L51" s="3">
        <f t="shared" ref="L51:L96" si="87">IF(K50&gt;$C$3+$C$4,"",$B$8)</f>
        <v>10</v>
      </c>
      <c r="M51" s="3">
        <f t="shared" ref="M51:M96" si="88">IF(K50&gt;$C$3+$C$4,"",$B$11)</f>
        <v>33</v>
      </c>
    </row>
    <row r="52" spans="2:13" x14ac:dyDescent="0.25">
      <c r="B52" s="15"/>
      <c r="C52" s="3">
        <v>24</v>
      </c>
      <c r="D52" s="3" t="s">
        <v>7</v>
      </c>
      <c r="E52" s="3">
        <f>IF(K51&gt;$C$3+$C$4,"",Tableau14[[#This Row],[cumul_temps]]/60)</f>
        <v>24.4</v>
      </c>
      <c r="F52" s="3">
        <f t="shared" ref="F52" si="89">IF(K51&gt;$C$3+$C$4,"",60*$B$14)</f>
        <v>30</v>
      </c>
      <c r="H52" s="13"/>
      <c r="I52" s="13"/>
      <c r="J52" s="13"/>
      <c r="K52" s="3">
        <f>IF(K51&lt;($B$3+$B$4)*60,K51+Tableau14[[#This Row],[duree_standard]],K51)</f>
        <v>1464</v>
      </c>
      <c r="L52" s="3">
        <f t="shared" ref="L52:L96" si="90">IF(K51&gt;$C$3+$C$4,"",$B$7)</f>
        <v>5</v>
      </c>
      <c r="M52" s="3">
        <f t="shared" ref="M52:M96" si="91">IF(K51&gt;$C$3+$C$4,"",$B$10)</f>
        <v>25</v>
      </c>
    </row>
    <row r="53" spans="2:13" x14ac:dyDescent="0.25">
      <c r="B53" s="15"/>
      <c r="C53" s="3">
        <v>25</v>
      </c>
      <c r="D53" s="3" t="s">
        <v>27</v>
      </c>
      <c r="E53" s="3">
        <f>IF(K52&gt;$C$3+$C$4,"",Tableau14[[#This Row],[cumul_temps]]/60)</f>
        <v>25.6</v>
      </c>
      <c r="F53" s="3">
        <f t="shared" ref="F53" si="92">IF(K52&gt;$C$3+$C$4,"",60*$B$13)</f>
        <v>60</v>
      </c>
      <c r="G53" s="3">
        <f t="shared" ref="G53" si="93">IF(K52&gt;$C$3+$C$4,"",G51+1)</f>
        <v>13</v>
      </c>
      <c r="H53" s="13">
        <f t="shared" ref="H53" si="94">IF(K52&gt;$C$3+$C$4,"",(K52-$G$26)/$C$4)</f>
        <v>0.25263157894736843</v>
      </c>
      <c r="I53" s="13">
        <f>IF(K52&gt;$C$3+$C$4,"",ROUND(IF(Tableau14[[#This Row],[Temps_Ref]]&gt;0,($F$13*Tableau14[[#This Row],[Temps_Ref]]^4+$G$13*Tableau14[[#This Row],[Temps_Ref]]^3+$H$13*Tableau14[[#This Row],[Temps_Ref]]^2+$I$13)/$J$13,0),1))</f>
        <v>1.2</v>
      </c>
      <c r="J53" s="3">
        <f>IF(K52&gt;$C$3+$C$4,"",Tableau14[[#This Row],[duree_standard]]*Tableau14[[#This Row],[Correction_DuréeEffortIntense]])</f>
        <v>72</v>
      </c>
      <c r="K53" s="3">
        <f>IF(K52&lt;($B$3+$B$4)*60,K52+Tableau14[[#This Row],[Durée_Corrigée]],K52)</f>
        <v>1536</v>
      </c>
      <c r="L53" s="3">
        <f t="shared" ref="L53:L96" si="95">IF(K52&gt;$C$3+$C$4,"",$B$8)</f>
        <v>10</v>
      </c>
      <c r="M53" s="3">
        <f t="shared" ref="M53:M96" si="96">IF(K52&gt;$C$3+$C$4,"",$B$11)</f>
        <v>33</v>
      </c>
    </row>
    <row r="54" spans="2:13" x14ac:dyDescent="0.25">
      <c r="B54" s="15"/>
      <c r="C54" s="3">
        <v>26</v>
      </c>
      <c r="D54" s="3" t="s">
        <v>7</v>
      </c>
      <c r="E54" s="3">
        <f>IF(K53&gt;$C$3+$C$4,"",Tableau14[[#This Row],[cumul_temps]]/60)</f>
        <v>26.1</v>
      </c>
      <c r="F54" s="3">
        <f t="shared" ref="F54" si="97">IF(K53&gt;$C$3+$C$4,"",60*$B$14)</f>
        <v>30</v>
      </c>
      <c r="H54" s="13"/>
      <c r="I54" s="13"/>
      <c r="J54" s="13"/>
      <c r="K54" s="3">
        <f>IF(K53&lt;($B$3+$B$4)*60,K53+Tableau14[[#This Row],[duree_standard]],K53)</f>
        <v>1566</v>
      </c>
      <c r="L54" s="3">
        <f t="shared" ref="L54:L96" si="98">IF(K53&gt;$C$3+$C$4,"",$B$7)</f>
        <v>5</v>
      </c>
      <c r="M54" s="3">
        <f t="shared" ref="M54:M96" si="99">IF(K53&gt;$C$3+$C$4,"",$B$10)</f>
        <v>25</v>
      </c>
    </row>
    <row r="55" spans="2:13" x14ac:dyDescent="0.25">
      <c r="B55" s="15"/>
      <c r="C55" s="3">
        <v>27</v>
      </c>
      <c r="D55" s="3" t="s">
        <v>27</v>
      </c>
      <c r="E55" s="3">
        <f>IF(K54&gt;$C$3+$C$4,"",Tableau14[[#This Row],[cumul_temps]]/60)</f>
        <v>27.4</v>
      </c>
      <c r="F55" s="3">
        <f t="shared" ref="F55" si="100">IF(K54&gt;$C$3+$C$4,"",60*$B$13)</f>
        <v>60</v>
      </c>
      <c r="G55" s="3">
        <f t="shared" ref="G55" si="101">IF(K54&gt;$C$3+$C$4,"",G53+1)</f>
        <v>14</v>
      </c>
      <c r="H55" s="13">
        <f t="shared" ref="H55" si="102">IF(K54&gt;$C$3+$C$4,"",(K54-$G$26)/$C$4)</f>
        <v>0.28245614035087718</v>
      </c>
      <c r="I55" s="13">
        <f>IF(K54&gt;$C$3+$C$4,"",ROUND(IF(Tableau14[[#This Row],[Temps_Ref]]&gt;0,($F$13*Tableau14[[#This Row],[Temps_Ref]]^4+$G$13*Tableau14[[#This Row],[Temps_Ref]]^3+$H$13*Tableau14[[#This Row],[Temps_Ref]]^2+$I$13)/$J$13,0),1))</f>
        <v>1.3</v>
      </c>
      <c r="J55" s="3">
        <f>IF(K54&gt;$C$3+$C$4,"",Tableau14[[#This Row],[duree_standard]]*Tableau14[[#This Row],[Correction_DuréeEffortIntense]])</f>
        <v>78</v>
      </c>
      <c r="K55" s="3">
        <f>IF(K54&lt;($B$3+$B$4)*60,K54+Tableau14[[#This Row],[Durée_Corrigée]],K54)</f>
        <v>1644</v>
      </c>
      <c r="L55" s="3">
        <f t="shared" ref="L55:L96" si="103">IF(K54&gt;$C$3+$C$4,"",$B$8)</f>
        <v>10</v>
      </c>
      <c r="M55" s="3">
        <f t="shared" ref="M55:M96" si="104">IF(K54&gt;$C$3+$C$4,"",$B$11)</f>
        <v>33</v>
      </c>
    </row>
    <row r="56" spans="2:13" x14ac:dyDescent="0.25">
      <c r="B56" s="15"/>
      <c r="C56" s="3">
        <v>28</v>
      </c>
      <c r="D56" s="3" t="s">
        <v>7</v>
      </c>
      <c r="E56" s="3">
        <f>IF(K55&gt;$C$3+$C$4,"",Tableau14[[#This Row],[cumul_temps]]/60)</f>
        <v>27.9</v>
      </c>
      <c r="F56" s="3">
        <f t="shared" ref="F56" si="105">IF(K55&gt;$C$3+$C$4,"",60*$B$14)</f>
        <v>30</v>
      </c>
      <c r="H56" s="13"/>
      <c r="I56" s="13"/>
      <c r="J56" s="13"/>
      <c r="K56" s="3">
        <f>IF(K55&lt;($B$3+$B$4)*60,K55+Tableau14[[#This Row],[duree_standard]],K55)</f>
        <v>1674</v>
      </c>
      <c r="L56" s="3">
        <f t="shared" ref="L56:L96" si="106">IF(K55&gt;$C$3+$C$4,"",$B$7)</f>
        <v>5</v>
      </c>
      <c r="M56" s="3">
        <f t="shared" ref="M56:M96" si="107">IF(K55&gt;$C$3+$C$4,"",$B$10)</f>
        <v>25</v>
      </c>
    </row>
    <row r="57" spans="2:13" x14ac:dyDescent="0.25">
      <c r="B57" s="15"/>
      <c r="C57" s="3">
        <v>29</v>
      </c>
      <c r="D57" s="3" t="s">
        <v>27</v>
      </c>
      <c r="E57" s="3">
        <f>IF(K56&gt;$C$3+$C$4,"",Tableau14[[#This Row],[cumul_temps]]/60)</f>
        <v>29.3</v>
      </c>
      <c r="F57" s="3">
        <f t="shared" ref="F57" si="108">IF(K56&gt;$C$3+$C$4,"",60*$B$13)</f>
        <v>60</v>
      </c>
      <c r="G57" s="3">
        <f t="shared" ref="G57" si="109">IF(K56&gt;$C$3+$C$4,"",G55+1)</f>
        <v>15</v>
      </c>
      <c r="H57" s="13">
        <f t="shared" ref="H57" si="110">IF(K56&gt;$C$3+$C$4,"",(K56-$G$26)/$C$4)</f>
        <v>0.31403508771929822</v>
      </c>
      <c r="I57" s="13">
        <f>IF(K56&gt;$C$3+$C$4,"",ROUND(IF(Tableau14[[#This Row],[Temps_Ref]]&gt;0,($F$13*Tableau14[[#This Row],[Temps_Ref]]^4+$G$13*Tableau14[[#This Row],[Temps_Ref]]^3+$H$13*Tableau14[[#This Row],[Temps_Ref]]^2+$I$13)/$J$13,0),1))</f>
        <v>1.4</v>
      </c>
      <c r="J57" s="3">
        <f>IF(K56&gt;$C$3+$C$4,"",Tableau14[[#This Row],[duree_standard]]*Tableau14[[#This Row],[Correction_DuréeEffortIntense]])</f>
        <v>84</v>
      </c>
      <c r="K57" s="3">
        <f>IF(K56&lt;($B$3+$B$4)*60,K56+Tableau14[[#This Row],[Durée_Corrigée]],K56)</f>
        <v>1758</v>
      </c>
      <c r="L57" s="3">
        <f t="shared" ref="L57:L96" si="111">IF(K56&gt;$C$3+$C$4,"",$B$8)</f>
        <v>10</v>
      </c>
      <c r="M57" s="3">
        <f t="shared" ref="M57:M96" si="112">IF(K56&gt;$C$3+$C$4,"",$B$11)</f>
        <v>33</v>
      </c>
    </row>
    <row r="58" spans="2:13" x14ac:dyDescent="0.25">
      <c r="B58" s="15"/>
      <c r="C58" s="3">
        <v>30</v>
      </c>
      <c r="D58" s="3" t="s">
        <v>7</v>
      </c>
      <c r="E58" s="3">
        <f>IF(K57&gt;$C$3+$C$4,"",Tableau14[[#This Row],[cumul_temps]]/60)</f>
        <v>29.8</v>
      </c>
      <c r="F58" s="3">
        <f t="shared" ref="F58" si="113">IF(K57&gt;$C$3+$C$4,"",60*$B$14)</f>
        <v>30</v>
      </c>
      <c r="H58" s="13"/>
      <c r="I58" s="13"/>
      <c r="J58" s="13"/>
      <c r="K58" s="3">
        <f>IF(K57&lt;($B$3+$B$4)*60,K57+Tableau14[[#This Row],[duree_standard]],K57)</f>
        <v>1788</v>
      </c>
      <c r="L58" s="3">
        <f t="shared" ref="L58:L96" si="114">IF(K57&gt;$C$3+$C$4,"",$B$7)</f>
        <v>5</v>
      </c>
      <c r="M58" s="3">
        <f t="shared" ref="M58:M96" si="115">IF(K57&gt;$C$3+$C$4,"",$B$10)</f>
        <v>25</v>
      </c>
    </row>
    <row r="59" spans="2:13" x14ac:dyDescent="0.25">
      <c r="B59" s="15"/>
      <c r="C59" s="3">
        <v>31</v>
      </c>
      <c r="D59" s="3" t="s">
        <v>27</v>
      </c>
      <c r="E59" s="3">
        <f>IF(K58&gt;$C$3+$C$4,"",Tableau14[[#This Row],[cumul_temps]]/60)</f>
        <v>31.3</v>
      </c>
      <c r="F59" s="3">
        <f t="shared" ref="F59" si="116">IF(K58&gt;$C$3+$C$4,"",60*$B$13)</f>
        <v>60</v>
      </c>
      <c r="G59" s="3">
        <f t="shared" ref="G59" si="117">IF(K58&gt;$C$3+$C$4,"",G57+1)</f>
        <v>16</v>
      </c>
      <c r="H59" s="13">
        <f t="shared" ref="H59" si="118">IF(K58&gt;$C$3+$C$4,"",(K58-$G$26)/$C$4)</f>
        <v>0.3473684210526316</v>
      </c>
      <c r="I59" s="13">
        <f>IF(K58&gt;$C$3+$C$4,"",ROUND(IF(Tableau14[[#This Row],[Temps_Ref]]&gt;0,($F$13*Tableau14[[#This Row],[Temps_Ref]]^4+$G$13*Tableau14[[#This Row],[Temps_Ref]]^3+$H$13*Tableau14[[#This Row],[Temps_Ref]]^2+$I$13)/$J$13,0),1))</f>
        <v>1.5</v>
      </c>
      <c r="J59" s="3">
        <f>IF(K58&gt;$C$3+$C$4,"",Tableau14[[#This Row],[duree_standard]]*Tableau14[[#This Row],[Correction_DuréeEffortIntense]])</f>
        <v>90</v>
      </c>
      <c r="K59" s="3">
        <f>IF(K58&lt;($B$3+$B$4)*60,K58+Tableau14[[#This Row],[Durée_Corrigée]],K58)</f>
        <v>1878</v>
      </c>
      <c r="L59" s="3">
        <f t="shared" ref="L59:L96" si="119">IF(K58&gt;$C$3+$C$4,"",$B$8)</f>
        <v>10</v>
      </c>
      <c r="M59" s="3">
        <f t="shared" ref="M59:M96" si="120">IF(K58&gt;$C$3+$C$4,"",$B$11)</f>
        <v>33</v>
      </c>
    </row>
    <row r="60" spans="2:13" x14ac:dyDescent="0.25">
      <c r="B60" s="15"/>
      <c r="C60" s="3">
        <v>32</v>
      </c>
      <c r="D60" s="3" t="s">
        <v>7</v>
      </c>
      <c r="E60" s="3">
        <f>IF(K59&gt;$C$3+$C$4,"",Tableau14[[#This Row],[cumul_temps]]/60)</f>
        <v>31.8</v>
      </c>
      <c r="F60" s="3">
        <f t="shared" ref="F60" si="121">IF(K59&gt;$C$3+$C$4,"",60*$B$14)</f>
        <v>30</v>
      </c>
      <c r="H60" s="13"/>
      <c r="I60" s="13"/>
      <c r="J60" s="13"/>
      <c r="K60" s="3">
        <f>IF(K59&lt;($B$3+$B$4)*60,K59+Tableau14[[#This Row],[duree_standard]],K59)</f>
        <v>1908</v>
      </c>
      <c r="L60" s="3">
        <f t="shared" ref="L60:L96" si="122">IF(K59&gt;$C$3+$C$4,"",$B$7)</f>
        <v>5</v>
      </c>
      <c r="M60" s="3">
        <f t="shared" ref="M60:M96" si="123">IF(K59&gt;$C$3+$C$4,"",$B$10)</f>
        <v>25</v>
      </c>
    </row>
    <row r="61" spans="2:13" x14ac:dyDescent="0.25">
      <c r="B61" s="15"/>
      <c r="C61" s="3">
        <v>33</v>
      </c>
      <c r="D61" s="3" t="s">
        <v>27</v>
      </c>
      <c r="E61" s="3">
        <f>IF(K60&gt;$C$3+$C$4,"",Tableau14[[#This Row],[cumul_temps]]/60)</f>
        <v>33.4</v>
      </c>
      <c r="F61" s="3">
        <f t="shared" ref="F61" si="124">IF(K60&gt;$C$3+$C$4,"",60*$B$13)</f>
        <v>60</v>
      </c>
      <c r="G61" s="3">
        <f t="shared" ref="G61" si="125">IF(K60&gt;$C$3+$C$4,"",G59+1)</f>
        <v>17</v>
      </c>
      <c r="H61" s="13">
        <f t="shared" ref="H61" si="126">IF(K60&gt;$C$3+$C$4,"",(K60-$G$26)/$C$4)</f>
        <v>0.38245614035087722</v>
      </c>
      <c r="I61" s="13">
        <f>IF(K60&gt;$C$3+$C$4,"",ROUND(IF(Tableau14[[#This Row],[Temps_Ref]]&gt;0,($F$13*Tableau14[[#This Row],[Temps_Ref]]^4+$G$13*Tableau14[[#This Row],[Temps_Ref]]^3+$H$13*Tableau14[[#This Row],[Temps_Ref]]^2+$I$13)/$J$13,0),1))</f>
        <v>1.6</v>
      </c>
      <c r="J61" s="3">
        <f>IF(K60&gt;$C$3+$C$4,"",Tableau14[[#This Row],[duree_standard]]*Tableau14[[#This Row],[Correction_DuréeEffortIntense]])</f>
        <v>96</v>
      </c>
      <c r="K61" s="3">
        <f>IF(K60&lt;($B$3+$B$4)*60,K60+Tableau14[[#This Row],[Durée_Corrigée]],K60)</f>
        <v>2004</v>
      </c>
      <c r="L61" s="3">
        <f t="shared" ref="L61:L96" si="127">IF(K60&gt;$C$3+$C$4,"",$B$8)</f>
        <v>10</v>
      </c>
      <c r="M61" s="3">
        <f t="shared" ref="M61:M96" si="128">IF(K60&gt;$C$3+$C$4,"",$B$11)</f>
        <v>33</v>
      </c>
    </row>
    <row r="62" spans="2:13" x14ac:dyDescent="0.25">
      <c r="B62" s="15"/>
      <c r="C62" s="3">
        <v>34</v>
      </c>
      <c r="D62" s="3" t="s">
        <v>7</v>
      </c>
      <c r="E62" s="3">
        <f>IF(K61&gt;$C$3+$C$4,"",Tableau14[[#This Row],[cumul_temps]]/60)</f>
        <v>33.9</v>
      </c>
      <c r="F62" s="3">
        <f t="shared" ref="F62" si="129">IF(K61&gt;$C$3+$C$4,"",60*$B$14)</f>
        <v>30</v>
      </c>
      <c r="H62" s="13"/>
      <c r="I62" s="13"/>
      <c r="J62" s="13"/>
      <c r="K62" s="3">
        <f>IF(K61&lt;($B$3+$B$4)*60,K61+Tableau14[[#This Row],[duree_standard]],K61)</f>
        <v>2034</v>
      </c>
      <c r="L62" s="3">
        <f t="shared" ref="L62:L96" si="130">IF(K61&gt;$C$3+$C$4,"",$B$7)</f>
        <v>5</v>
      </c>
      <c r="M62" s="3">
        <f t="shared" ref="M62:M96" si="131">IF(K61&gt;$C$3+$C$4,"",$B$10)</f>
        <v>25</v>
      </c>
    </row>
    <row r="63" spans="2:13" x14ac:dyDescent="0.25">
      <c r="B63" s="15"/>
      <c r="C63" s="3">
        <v>35</v>
      </c>
      <c r="D63" s="3" t="s">
        <v>27</v>
      </c>
      <c r="E63" s="3">
        <f>IF(K62&gt;$C$3+$C$4,"",Tableau14[[#This Row],[cumul_temps]]/60)</f>
        <v>35.6</v>
      </c>
      <c r="F63" s="3">
        <f t="shared" ref="F63" si="132">IF(K62&gt;$C$3+$C$4,"",60*$B$13)</f>
        <v>60</v>
      </c>
      <c r="G63" s="3">
        <f t="shared" ref="G63" si="133">IF(K62&gt;$C$3+$C$4,"",G61+1)</f>
        <v>18</v>
      </c>
      <c r="H63" s="13">
        <f t="shared" ref="H63" si="134">IF(K62&gt;$C$3+$C$4,"",(K62-$G$26)/$C$4)</f>
        <v>0.41929824561403511</v>
      </c>
      <c r="I63" s="13">
        <f>IF(K62&gt;$C$3+$C$4,"",ROUND(IF(Tableau14[[#This Row],[Temps_Ref]]&gt;0,($F$13*Tableau14[[#This Row],[Temps_Ref]]^4+$G$13*Tableau14[[#This Row],[Temps_Ref]]^3+$H$13*Tableau14[[#This Row],[Temps_Ref]]^2+$I$13)/$J$13,0),1))</f>
        <v>1.7</v>
      </c>
      <c r="J63" s="3">
        <f>IF(K62&gt;$C$3+$C$4,"",Tableau14[[#This Row],[duree_standard]]*Tableau14[[#This Row],[Correction_DuréeEffortIntense]])</f>
        <v>102</v>
      </c>
      <c r="K63" s="3">
        <f>IF(K62&lt;($B$3+$B$4)*60,K62+Tableau14[[#This Row],[Durée_Corrigée]],K62)</f>
        <v>2136</v>
      </c>
      <c r="L63" s="3">
        <f t="shared" ref="L63:L96" si="135">IF(K62&gt;$C$3+$C$4,"",$B$8)</f>
        <v>10</v>
      </c>
      <c r="M63" s="3">
        <f t="shared" ref="M63:M96" si="136">IF(K62&gt;$C$3+$C$4,"",$B$11)</f>
        <v>33</v>
      </c>
    </row>
    <row r="64" spans="2:13" x14ac:dyDescent="0.25">
      <c r="B64" s="15"/>
      <c r="C64" s="3">
        <v>36</v>
      </c>
      <c r="D64" s="3" t="s">
        <v>7</v>
      </c>
      <c r="E64" s="3">
        <f>IF(K63&gt;$C$3+$C$4,"",Tableau14[[#This Row],[cumul_temps]]/60)</f>
        <v>36.1</v>
      </c>
      <c r="F64" s="3">
        <f t="shared" ref="F64" si="137">IF(K63&gt;$C$3+$C$4,"",60*$B$14)</f>
        <v>30</v>
      </c>
      <c r="H64" s="13"/>
      <c r="I64" s="13"/>
      <c r="J64" s="13"/>
      <c r="K64" s="3">
        <f>IF(K63&lt;($B$3+$B$4)*60,K63+Tableau14[[#This Row],[duree_standard]],K63)</f>
        <v>2166</v>
      </c>
      <c r="L64" s="3">
        <f t="shared" ref="L64:L96" si="138">IF(K63&gt;$C$3+$C$4,"",$B$7)</f>
        <v>5</v>
      </c>
      <c r="M64" s="3">
        <f t="shared" ref="M64:M96" si="139">IF(K63&gt;$C$3+$C$4,"",$B$10)</f>
        <v>25</v>
      </c>
    </row>
    <row r="65" spans="2:13" x14ac:dyDescent="0.25">
      <c r="B65" s="15"/>
      <c r="C65" s="3">
        <v>37</v>
      </c>
      <c r="D65" s="3" t="s">
        <v>27</v>
      </c>
      <c r="E65" s="3">
        <f>IF(K64&gt;$C$3+$C$4,"",Tableau14[[#This Row],[cumul_temps]]/60)</f>
        <v>37.9</v>
      </c>
      <c r="F65" s="3">
        <f t="shared" ref="F65" si="140">IF(K64&gt;$C$3+$C$4,"",60*$B$13)</f>
        <v>60</v>
      </c>
      <c r="G65" s="3">
        <f t="shared" ref="G65" si="141">IF(K64&gt;$C$3+$C$4,"",G63+1)</f>
        <v>19</v>
      </c>
      <c r="H65" s="13">
        <f t="shared" ref="H65" si="142">IF(K64&gt;$C$3+$C$4,"",(K64-$G$26)/$C$4)</f>
        <v>0.45789473684210524</v>
      </c>
      <c r="I65" s="13">
        <f>IF(K64&gt;$C$3+$C$4,"",ROUND(IF(Tableau14[[#This Row],[Temps_Ref]]&gt;0,($F$13*Tableau14[[#This Row],[Temps_Ref]]^4+$G$13*Tableau14[[#This Row],[Temps_Ref]]^3+$H$13*Tableau14[[#This Row],[Temps_Ref]]^2+$I$13)/$J$13,0),1))</f>
        <v>1.8</v>
      </c>
      <c r="J65" s="3">
        <f>IF(K64&gt;$C$3+$C$4,"",Tableau14[[#This Row],[duree_standard]]*Tableau14[[#This Row],[Correction_DuréeEffortIntense]])</f>
        <v>108</v>
      </c>
      <c r="K65" s="3">
        <f>IF(K64&lt;($B$3+$B$4)*60,K64+Tableau14[[#This Row],[Durée_Corrigée]],K64)</f>
        <v>2274</v>
      </c>
      <c r="L65" s="3">
        <f t="shared" ref="L65:L96" si="143">IF(K64&gt;$C$3+$C$4,"",$B$8)</f>
        <v>10</v>
      </c>
      <c r="M65" s="3">
        <f t="shared" ref="M65:M96" si="144">IF(K64&gt;$C$3+$C$4,"",$B$11)</f>
        <v>33</v>
      </c>
    </row>
    <row r="66" spans="2:13" x14ac:dyDescent="0.25">
      <c r="B66" s="15"/>
      <c r="C66" s="3">
        <v>38</v>
      </c>
      <c r="D66" s="3" t="s">
        <v>7</v>
      </c>
      <c r="E66" s="3">
        <f>IF(K65&gt;$C$3+$C$4,"",Tableau14[[#This Row],[cumul_temps]]/60)</f>
        <v>38.4</v>
      </c>
      <c r="F66" s="3">
        <f t="shared" ref="F66" si="145">IF(K65&gt;$C$3+$C$4,"",60*$B$14)</f>
        <v>30</v>
      </c>
      <c r="H66" s="13"/>
      <c r="I66" s="13"/>
      <c r="J66" s="13"/>
      <c r="K66" s="3">
        <f>IF(K65&lt;($B$3+$B$4)*60,K65+Tableau14[[#This Row],[duree_standard]],K65)</f>
        <v>2304</v>
      </c>
      <c r="L66" s="3">
        <f t="shared" ref="L66:L96" si="146">IF(K65&gt;$C$3+$C$4,"",$B$7)</f>
        <v>5</v>
      </c>
      <c r="M66" s="3">
        <f t="shared" ref="M66:M96" si="147">IF(K65&gt;$C$3+$C$4,"",$B$10)</f>
        <v>25</v>
      </c>
    </row>
    <row r="67" spans="2:13" x14ac:dyDescent="0.25">
      <c r="B67" s="15"/>
      <c r="C67" s="3">
        <v>39</v>
      </c>
      <c r="D67" s="3" t="s">
        <v>27</v>
      </c>
      <c r="E67" s="3">
        <f>IF(K66&gt;$C$3+$C$4,"",Tableau14[[#This Row],[cumul_temps]]/60)</f>
        <v>40.299999999999997</v>
      </c>
      <c r="F67" s="3">
        <f t="shared" ref="F67" si="148">IF(K66&gt;$C$3+$C$4,"",60*$B$13)</f>
        <v>60</v>
      </c>
      <c r="G67" s="3">
        <f t="shared" ref="G67" si="149">IF(K66&gt;$C$3+$C$4,"",G65+1)</f>
        <v>20</v>
      </c>
      <c r="H67" s="13">
        <f t="shared" ref="H67" si="150">IF(K66&gt;$C$3+$C$4,"",(K66-$G$26)/$C$4)</f>
        <v>0.49824561403508771</v>
      </c>
      <c r="I67" s="13">
        <f>IF(K66&gt;$C$3+$C$4,"",ROUND(IF(Tableau14[[#This Row],[Temps_Ref]]&gt;0,($F$13*Tableau14[[#This Row],[Temps_Ref]]^4+$G$13*Tableau14[[#This Row],[Temps_Ref]]^3+$H$13*Tableau14[[#This Row],[Temps_Ref]]^2+$I$13)/$J$13,0),1))</f>
        <v>1.9</v>
      </c>
      <c r="J67" s="3">
        <f>IF(K66&gt;$C$3+$C$4,"",Tableau14[[#This Row],[duree_standard]]*Tableau14[[#This Row],[Correction_DuréeEffortIntense]])</f>
        <v>114</v>
      </c>
      <c r="K67" s="3">
        <f>IF(K66&lt;($B$3+$B$4)*60,K66+Tableau14[[#This Row],[Durée_Corrigée]],K66)</f>
        <v>2418</v>
      </c>
      <c r="L67" s="3">
        <f t="shared" ref="L67:L96" si="151">IF(K66&gt;$C$3+$C$4,"",$B$8)</f>
        <v>10</v>
      </c>
      <c r="M67" s="3">
        <f t="shared" ref="M67:M96" si="152">IF(K66&gt;$C$3+$C$4,"",$B$11)</f>
        <v>33</v>
      </c>
    </row>
    <row r="68" spans="2:13" x14ac:dyDescent="0.25">
      <c r="B68" s="15"/>
      <c r="C68" s="3">
        <v>40</v>
      </c>
      <c r="D68" s="3" t="s">
        <v>7</v>
      </c>
      <c r="E68" s="3">
        <f>IF(K67&gt;$C$3+$C$4,"",Tableau14[[#This Row],[cumul_temps]]/60)</f>
        <v>40.799999999999997</v>
      </c>
      <c r="F68" s="3">
        <f t="shared" ref="F68" si="153">IF(K67&gt;$C$3+$C$4,"",60*$B$14)</f>
        <v>30</v>
      </c>
      <c r="H68" s="13"/>
      <c r="I68" s="13"/>
      <c r="J68" s="13"/>
      <c r="K68" s="3">
        <f>IF(K67&lt;($B$3+$B$4)*60,K67+Tableau14[[#This Row],[duree_standard]],K67)</f>
        <v>2448</v>
      </c>
      <c r="L68" s="3">
        <f t="shared" ref="L68:L96" si="154">IF(K67&gt;$C$3+$C$4,"",$B$7)</f>
        <v>5</v>
      </c>
      <c r="M68" s="3">
        <f t="shared" ref="M68:M96" si="155">IF(K67&gt;$C$3+$C$4,"",$B$10)</f>
        <v>25</v>
      </c>
    </row>
    <row r="69" spans="2:13" x14ac:dyDescent="0.25">
      <c r="B69" s="15"/>
      <c r="C69" s="3">
        <v>41</v>
      </c>
      <c r="D69" s="3" t="s">
        <v>27</v>
      </c>
      <c r="E69" s="3">
        <f>IF(K68&gt;$C$3+$C$4,"",Tableau14[[#This Row],[cumul_temps]]/60)</f>
        <v>42.8</v>
      </c>
      <c r="F69" s="3">
        <f t="shared" ref="F69" si="156">IF(K68&gt;$C$3+$C$4,"",60*$B$13)</f>
        <v>60</v>
      </c>
      <c r="G69" s="3">
        <f t="shared" ref="G69" si="157">IF(K68&gt;$C$3+$C$4,"",G67+1)</f>
        <v>21</v>
      </c>
      <c r="H69" s="13">
        <f t="shared" ref="H69" si="158">IF(K68&gt;$C$3+$C$4,"",(K68-$G$26)/$C$4)</f>
        <v>0.54035087719298247</v>
      </c>
      <c r="I69" s="13">
        <f>IF(K68&gt;$C$3+$C$4,"",ROUND(IF(Tableau14[[#This Row],[Temps_Ref]]&gt;0,($F$13*Tableau14[[#This Row],[Temps_Ref]]^4+$G$13*Tableau14[[#This Row],[Temps_Ref]]^3+$H$13*Tableau14[[#This Row],[Temps_Ref]]^2+$I$13)/$J$13,0),1))</f>
        <v>2</v>
      </c>
      <c r="J69" s="3">
        <f>IF(K68&gt;$C$3+$C$4,"",Tableau14[[#This Row],[duree_standard]]*Tableau14[[#This Row],[Correction_DuréeEffortIntense]])</f>
        <v>120</v>
      </c>
      <c r="K69" s="3">
        <f>IF(K68&lt;($B$3+$B$4)*60,K68+Tableau14[[#This Row],[Durée_Corrigée]],K68)</f>
        <v>2568</v>
      </c>
      <c r="L69" s="3">
        <f t="shared" ref="L69:L96" si="159">IF(K68&gt;$C$3+$C$4,"",$B$8)</f>
        <v>10</v>
      </c>
      <c r="M69" s="3">
        <f t="shared" ref="M69:M96" si="160">IF(K68&gt;$C$3+$C$4,"",$B$11)</f>
        <v>33</v>
      </c>
    </row>
    <row r="70" spans="2:13" x14ac:dyDescent="0.25">
      <c r="B70" s="15"/>
      <c r="C70" s="3">
        <v>42</v>
      </c>
      <c r="D70" s="3" t="s">
        <v>7</v>
      </c>
      <c r="E70" s="3">
        <f>IF(K69&gt;$C$3+$C$4,"",Tableau14[[#This Row],[cumul_temps]]/60)</f>
        <v>43.3</v>
      </c>
      <c r="F70" s="3">
        <f t="shared" ref="F70" si="161">IF(K69&gt;$C$3+$C$4,"",60*$B$14)</f>
        <v>30</v>
      </c>
      <c r="H70" s="13"/>
      <c r="I70" s="13"/>
      <c r="J70" s="13"/>
      <c r="K70" s="3">
        <f>IF(K69&lt;($B$3+$B$4)*60,K69+Tableau14[[#This Row],[duree_standard]],K69)</f>
        <v>2598</v>
      </c>
      <c r="L70" s="3">
        <f t="shared" ref="L70:L96" si="162">IF(K69&gt;$C$3+$C$4,"",$B$7)</f>
        <v>5</v>
      </c>
      <c r="M70" s="3">
        <f t="shared" ref="M70:M96" si="163">IF(K69&gt;$C$3+$C$4,"",$B$10)</f>
        <v>25</v>
      </c>
    </row>
    <row r="71" spans="2:13" x14ac:dyDescent="0.25">
      <c r="B71" s="15"/>
      <c r="C71" s="3">
        <v>43</v>
      </c>
      <c r="D71" s="3" t="s">
        <v>27</v>
      </c>
      <c r="E71" s="3">
        <f>IF(K70&gt;$C$3+$C$4,"",Tableau14[[#This Row],[cumul_temps]]/60)</f>
        <v>45.3</v>
      </c>
      <c r="F71" s="3">
        <f t="shared" ref="F71" si="164">IF(K70&gt;$C$3+$C$4,"",60*$B$13)</f>
        <v>60</v>
      </c>
      <c r="G71" s="3">
        <f t="shared" ref="G71" si="165">IF(K70&gt;$C$3+$C$4,"",G69+1)</f>
        <v>22</v>
      </c>
      <c r="H71" s="13">
        <f t="shared" ref="H71" si="166">IF(K70&gt;$C$3+$C$4,"",(K70-$G$26)/$C$4)</f>
        <v>0.58421052631578951</v>
      </c>
      <c r="I71" s="13">
        <f>IF(K70&gt;$C$3+$C$4,"",ROUND(IF(Tableau14[[#This Row],[Temps_Ref]]&gt;0,($F$13*Tableau14[[#This Row],[Temps_Ref]]^4+$G$13*Tableau14[[#This Row],[Temps_Ref]]^3+$H$13*Tableau14[[#This Row],[Temps_Ref]]^2+$I$13)/$J$13,0),1))</f>
        <v>2</v>
      </c>
      <c r="J71" s="3">
        <f>IF(K70&gt;$C$3+$C$4,"",Tableau14[[#This Row],[duree_standard]]*Tableau14[[#This Row],[Correction_DuréeEffortIntense]])</f>
        <v>120</v>
      </c>
      <c r="K71" s="3">
        <f>IF(K70&lt;($B$3+$B$4)*60,K70+Tableau14[[#This Row],[Durée_Corrigée]],K70)</f>
        <v>2718</v>
      </c>
      <c r="L71" s="3">
        <f t="shared" ref="L71:L96" si="167">IF(K70&gt;$C$3+$C$4,"",$B$8)</f>
        <v>10</v>
      </c>
      <c r="M71" s="3">
        <f t="shared" ref="M71:M96" si="168">IF(K70&gt;$C$3+$C$4,"",$B$11)</f>
        <v>33</v>
      </c>
    </row>
    <row r="72" spans="2:13" x14ac:dyDescent="0.25">
      <c r="B72" s="15"/>
      <c r="C72" s="3">
        <v>44</v>
      </c>
      <c r="D72" s="3" t="s">
        <v>7</v>
      </c>
      <c r="E72" s="3">
        <f>IF(K71&gt;$C$3+$C$4,"",Tableau14[[#This Row],[cumul_temps]]/60)</f>
        <v>45.8</v>
      </c>
      <c r="F72" s="3">
        <f t="shared" ref="F72" si="169">IF(K71&gt;$C$3+$C$4,"",60*$B$14)</f>
        <v>30</v>
      </c>
      <c r="H72" s="13"/>
      <c r="I72" s="13"/>
      <c r="J72" s="13"/>
      <c r="K72" s="3">
        <f>IF(K71&lt;($B$3+$B$4)*60,K71+Tableau14[[#This Row],[duree_standard]],K71)</f>
        <v>2748</v>
      </c>
      <c r="L72" s="3">
        <f t="shared" ref="L72:L96" si="170">IF(K71&gt;$C$3+$C$4,"",$B$7)</f>
        <v>5</v>
      </c>
      <c r="M72" s="3">
        <f t="shared" ref="M72:M96" si="171">IF(K71&gt;$C$3+$C$4,"",$B$10)</f>
        <v>25</v>
      </c>
    </row>
    <row r="73" spans="2:13" x14ac:dyDescent="0.25">
      <c r="B73" s="15"/>
      <c r="C73" s="3">
        <v>45</v>
      </c>
      <c r="D73" s="3" t="s">
        <v>27</v>
      </c>
      <c r="E73" s="3">
        <f>IF(K72&gt;$C$3+$C$4,"",Tableau14[[#This Row],[cumul_temps]]/60)</f>
        <v>47.8</v>
      </c>
      <c r="F73" s="3">
        <f t="shared" ref="F73" si="172">IF(K72&gt;$C$3+$C$4,"",60*$B$13)</f>
        <v>60</v>
      </c>
      <c r="G73" s="3">
        <f t="shared" ref="G73" si="173">IF(K72&gt;$C$3+$C$4,"",G71+1)</f>
        <v>23</v>
      </c>
      <c r="H73" s="13">
        <f t="shared" ref="H73" si="174">IF(K72&gt;$C$3+$C$4,"",(K72-$G$26)/$C$4)</f>
        <v>0.62807017543859645</v>
      </c>
      <c r="I73" s="13">
        <f>IF(K72&gt;$C$3+$C$4,"",ROUND(IF(Tableau14[[#This Row],[Temps_Ref]]&gt;0,($F$13*Tableau14[[#This Row],[Temps_Ref]]^4+$G$13*Tableau14[[#This Row],[Temps_Ref]]^3+$H$13*Tableau14[[#This Row],[Temps_Ref]]^2+$I$13)/$J$13,0),1))</f>
        <v>2</v>
      </c>
      <c r="J73" s="3">
        <f>IF(K72&gt;$C$3+$C$4,"",Tableau14[[#This Row],[duree_standard]]*Tableau14[[#This Row],[Correction_DuréeEffortIntense]])</f>
        <v>120</v>
      </c>
      <c r="K73" s="3">
        <f>IF(K72&lt;($B$3+$B$4)*60,K72+Tableau14[[#This Row],[Durée_Corrigée]],K72)</f>
        <v>2868</v>
      </c>
      <c r="L73" s="3">
        <f t="shared" ref="L73:L96" si="175">IF(K72&gt;$C$3+$C$4,"",$B$8)</f>
        <v>10</v>
      </c>
      <c r="M73" s="3">
        <f t="shared" ref="M73:M96" si="176">IF(K72&gt;$C$3+$C$4,"",$B$11)</f>
        <v>33</v>
      </c>
    </row>
    <row r="74" spans="2:13" x14ac:dyDescent="0.25">
      <c r="B74" s="15"/>
      <c r="C74" s="3">
        <v>46</v>
      </c>
      <c r="D74" s="3" t="s">
        <v>7</v>
      </c>
      <c r="E74" s="3">
        <f>IF(K73&gt;$C$3+$C$4,"",Tableau14[[#This Row],[cumul_temps]]/60)</f>
        <v>48.3</v>
      </c>
      <c r="F74" s="3">
        <f t="shared" ref="F74:F96" si="177">IF(K73&gt;$C$3+$C$4,"",60*$B$14)</f>
        <v>30</v>
      </c>
      <c r="H74" s="13"/>
      <c r="I74" s="13"/>
      <c r="J74" s="13"/>
      <c r="K74" s="3">
        <f>IF(K73&lt;($B$3+$B$4)*60,K73+Tableau14[[#This Row],[duree_standard]],K73)</f>
        <v>2898</v>
      </c>
      <c r="L74" s="3">
        <f t="shared" ref="L74:L96" si="178">IF(K73&gt;$C$3+$C$4,"",$B$7)</f>
        <v>5</v>
      </c>
      <c r="M74" s="3">
        <f t="shared" ref="M74:M96" si="179">IF(K73&gt;$C$3+$C$4,"",$B$10)</f>
        <v>25</v>
      </c>
    </row>
    <row r="75" spans="2:13" x14ac:dyDescent="0.25">
      <c r="B75" s="15"/>
      <c r="C75" s="3">
        <v>47</v>
      </c>
      <c r="D75" s="3" t="s">
        <v>27</v>
      </c>
      <c r="E75" s="3">
        <f>IF(K74&gt;$C$3+$C$4,"",Tableau14[[#This Row],[cumul_temps]]/60)</f>
        <v>50.3</v>
      </c>
      <c r="F75" s="3">
        <f t="shared" ref="F75:F96" si="180">IF(K74&gt;$C$3+$C$4,"",60*$B$13)</f>
        <v>60</v>
      </c>
      <c r="G75" s="3">
        <f t="shared" ref="G75" si="181">IF(K74&gt;$C$3+$C$4,"",G73+1)</f>
        <v>24</v>
      </c>
      <c r="H75" s="13">
        <f t="shared" ref="H75:H96" si="182">IF(K74&gt;$C$3+$C$4,"",(K74-$G$26)/$C$4)</f>
        <v>0.67192982456140349</v>
      </c>
      <c r="I75" s="13">
        <f>IF(K74&gt;$C$3+$C$4,"",ROUND(IF(Tableau14[[#This Row],[Temps_Ref]]&gt;0,($F$13*Tableau14[[#This Row],[Temps_Ref]]^4+$G$13*Tableau14[[#This Row],[Temps_Ref]]^3+$H$13*Tableau14[[#This Row],[Temps_Ref]]^2+$I$13)/$J$13,0),1))</f>
        <v>2</v>
      </c>
      <c r="J75" s="3">
        <f>IF(K74&gt;$C$3+$C$4,"",Tableau14[[#This Row],[duree_standard]]*Tableau14[[#This Row],[Correction_DuréeEffortIntense]])</f>
        <v>120</v>
      </c>
      <c r="K75" s="3">
        <f>IF(K74&lt;($B$3+$B$4)*60,K74+Tableau14[[#This Row],[Durée_Corrigée]],K74)</f>
        <v>3018</v>
      </c>
      <c r="L75" s="3">
        <f t="shared" ref="L75:L96" si="183">IF(K74&gt;$C$3+$C$4,"",$B$8)</f>
        <v>10</v>
      </c>
      <c r="M75" s="3">
        <f t="shared" ref="M75:M96" si="184">IF(K74&gt;$C$3+$C$4,"",$B$11)</f>
        <v>33</v>
      </c>
    </row>
    <row r="76" spans="2:13" x14ac:dyDescent="0.25">
      <c r="B76" s="15"/>
      <c r="C76" s="3">
        <v>48</v>
      </c>
      <c r="D76" s="3" t="s">
        <v>7</v>
      </c>
      <c r="E76" s="3">
        <f>IF(K75&gt;$C$3+$C$4,"",Tableau14[[#This Row],[cumul_temps]]/60)</f>
        <v>50.8</v>
      </c>
      <c r="F76" s="3">
        <f t="shared" ref="F76:F96" si="185">IF(K75&gt;$C$3+$C$4,"",60*$B$14)</f>
        <v>30</v>
      </c>
      <c r="H76" s="13"/>
      <c r="I76" s="13"/>
      <c r="J76" s="13"/>
      <c r="K76" s="3">
        <f>IF(K75&lt;($B$3+$B$4)*60,K75+Tableau14[[#This Row],[duree_standard]],K75)</f>
        <v>3048</v>
      </c>
      <c r="L76" s="3">
        <f t="shared" ref="L76:L96" si="186">IF(K75&gt;$C$3+$C$4,"",$B$7)</f>
        <v>5</v>
      </c>
      <c r="M76" s="3">
        <f t="shared" ref="M76:M96" si="187">IF(K75&gt;$C$3+$C$4,"",$B$10)</f>
        <v>25</v>
      </c>
    </row>
    <row r="77" spans="2:13" x14ac:dyDescent="0.25">
      <c r="B77" s="15"/>
      <c r="C77" s="3">
        <v>49</v>
      </c>
      <c r="D77" s="3" t="s">
        <v>27</v>
      </c>
      <c r="E77" s="3">
        <f>IF(K76&gt;$C$3+$C$4,"",Tableau14[[#This Row],[cumul_temps]]/60)</f>
        <v>52.7</v>
      </c>
      <c r="F77" s="3">
        <f t="shared" ref="F77:F96" si="188">IF(K76&gt;$C$3+$C$4,"",60*$B$13)</f>
        <v>60</v>
      </c>
      <c r="G77" s="3">
        <f t="shared" ref="G77" si="189">IF(K76&gt;$C$3+$C$4,"",G75+1)</f>
        <v>25</v>
      </c>
      <c r="H77" s="13">
        <f t="shared" ref="H77:H96" si="190">IF(K76&gt;$C$3+$C$4,"",(K76-$G$26)/$C$4)</f>
        <v>0.71578947368421053</v>
      </c>
      <c r="I77" s="13">
        <f>IF(K76&gt;$C$3+$C$4,"",ROUND(IF(Tableau14[[#This Row],[Temps_Ref]]&gt;0,($F$13*Tableau14[[#This Row],[Temps_Ref]]^4+$G$13*Tableau14[[#This Row],[Temps_Ref]]^3+$H$13*Tableau14[[#This Row],[Temps_Ref]]^2+$I$13)/$J$13,0),1))</f>
        <v>1.9</v>
      </c>
      <c r="J77" s="3">
        <f>IF(K76&gt;$C$3+$C$4,"",Tableau14[[#This Row],[duree_standard]]*Tableau14[[#This Row],[Correction_DuréeEffortIntense]])</f>
        <v>114</v>
      </c>
      <c r="K77" s="3">
        <f>IF(K76&lt;($B$3+$B$4)*60,K76+Tableau14[[#This Row],[Durée_Corrigée]],K76)</f>
        <v>3162</v>
      </c>
      <c r="L77" s="3">
        <f t="shared" ref="L77:L96" si="191">IF(K76&gt;$C$3+$C$4,"",$B$8)</f>
        <v>10</v>
      </c>
      <c r="M77" s="3">
        <f t="shared" ref="M77:M96" si="192">IF(K76&gt;$C$3+$C$4,"",$B$11)</f>
        <v>33</v>
      </c>
    </row>
    <row r="78" spans="2:13" x14ac:dyDescent="0.25">
      <c r="B78" s="15"/>
      <c r="C78" s="3">
        <v>50</v>
      </c>
      <c r="D78" s="3" t="s">
        <v>7</v>
      </c>
      <c r="E78" s="3">
        <f>IF(K77&gt;$C$3+$C$4,"",Tableau14[[#This Row],[cumul_temps]]/60)</f>
        <v>53.2</v>
      </c>
      <c r="F78" s="3">
        <f t="shared" ref="F78:F96" si="193">IF(K77&gt;$C$3+$C$4,"",60*$B$14)</f>
        <v>30</v>
      </c>
      <c r="H78" s="13"/>
      <c r="I78" s="13"/>
      <c r="J78" s="13"/>
      <c r="K78" s="3">
        <f>IF(K77&lt;($B$3+$B$4)*60,K77+Tableau14[[#This Row],[duree_standard]],K77)</f>
        <v>3192</v>
      </c>
      <c r="L78" s="3">
        <f t="shared" ref="L78:L96" si="194">IF(K77&gt;$C$3+$C$4,"",$B$7)</f>
        <v>5</v>
      </c>
      <c r="M78" s="3">
        <f t="shared" ref="M78:M96" si="195">IF(K77&gt;$C$3+$C$4,"",$B$10)</f>
        <v>25</v>
      </c>
    </row>
    <row r="79" spans="2:13" x14ac:dyDescent="0.25">
      <c r="B79" s="15"/>
      <c r="C79" s="3">
        <v>51</v>
      </c>
      <c r="D79" s="3" t="s">
        <v>27</v>
      </c>
      <c r="E79" s="3">
        <f>IF(K78&gt;$C$3+$C$4,"",Tableau14[[#This Row],[cumul_temps]]/60)</f>
        <v>55</v>
      </c>
      <c r="F79" s="3">
        <f t="shared" ref="F79:F96" si="196">IF(K78&gt;$C$3+$C$4,"",60*$B$13)</f>
        <v>60</v>
      </c>
      <c r="G79" s="3">
        <f t="shared" ref="G79" si="197">IF(K78&gt;$C$3+$C$4,"",G77+1)</f>
        <v>26</v>
      </c>
      <c r="H79" s="13">
        <f t="shared" ref="H79:H96" si="198">IF(K78&gt;$C$3+$C$4,"",(K78-$G$26)/$C$4)</f>
        <v>0.75789473684210529</v>
      </c>
      <c r="I79" s="13">
        <f>IF(K78&gt;$C$3+$C$4,"",ROUND(IF(Tableau14[[#This Row],[Temps_Ref]]&gt;0,($F$13*Tableau14[[#This Row],[Temps_Ref]]^4+$G$13*Tableau14[[#This Row],[Temps_Ref]]^3+$H$13*Tableau14[[#This Row],[Temps_Ref]]^2+$I$13)/$J$13,0),1))</f>
        <v>1.8</v>
      </c>
      <c r="J79" s="3">
        <f>IF(K78&gt;$C$3+$C$4,"",Tableau14[[#This Row],[duree_standard]]*Tableau14[[#This Row],[Correction_DuréeEffortIntense]])</f>
        <v>108</v>
      </c>
      <c r="K79" s="3">
        <f>IF(K78&lt;($B$3+$B$4)*60,K78+Tableau14[[#This Row],[Durée_Corrigée]],K78)</f>
        <v>3300</v>
      </c>
      <c r="L79" s="3">
        <f t="shared" ref="L79:L96" si="199">IF(K78&gt;$C$3+$C$4,"",$B$8)</f>
        <v>10</v>
      </c>
      <c r="M79" s="3">
        <f t="shared" ref="M79:M96" si="200">IF(K78&gt;$C$3+$C$4,"",$B$11)</f>
        <v>33</v>
      </c>
    </row>
    <row r="80" spans="2:13" x14ac:dyDescent="0.25">
      <c r="B80" s="15"/>
      <c r="C80" s="3">
        <v>52</v>
      </c>
      <c r="D80" s="3" t="s">
        <v>7</v>
      </c>
      <c r="E80" s="3">
        <f>IF(K79&gt;$C$3+$C$4,"",Tableau14[[#This Row],[cumul_temps]]/60)</f>
        <v>55.5</v>
      </c>
      <c r="F80" s="3">
        <f t="shared" ref="F80:F96" si="201">IF(K79&gt;$C$3+$C$4,"",60*$B$14)</f>
        <v>30</v>
      </c>
      <c r="H80" s="13"/>
      <c r="I80" s="13"/>
      <c r="J80" s="13"/>
      <c r="K80" s="3">
        <f>IF(K79&lt;($B$3+$B$4)*60,K79+Tableau14[[#This Row],[duree_standard]],K79)</f>
        <v>3330</v>
      </c>
      <c r="L80" s="3">
        <f t="shared" ref="L80:L96" si="202">IF(K79&gt;$C$3+$C$4,"",$B$7)</f>
        <v>5</v>
      </c>
      <c r="M80" s="3">
        <f t="shared" ref="M80:M96" si="203">IF(K79&gt;$C$3+$C$4,"",$B$10)</f>
        <v>25</v>
      </c>
    </row>
    <row r="81" spans="2:13" x14ac:dyDescent="0.25">
      <c r="B81" s="15"/>
      <c r="C81" s="3">
        <v>53</v>
      </c>
      <c r="D81" s="3" t="s">
        <v>27</v>
      </c>
      <c r="E81" s="3">
        <f>IF(K80&gt;$C$3+$C$4,"",Tableau14[[#This Row],[cumul_temps]]/60)</f>
        <v>57.2</v>
      </c>
      <c r="F81" s="3">
        <f t="shared" ref="F81:F96" si="204">IF(K80&gt;$C$3+$C$4,"",60*$B$13)</f>
        <v>60</v>
      </c>
      <c r="G81" s="3">
        <f t="shared" ref="G81" si="205">IF(K80&gt;$C$3+$C$4,"",G79+1)</f>
        <v>27</v>
      </c>
      <c r="H81" s="13">
        <f t="shared" ref="H81:H96" si="206">IF(K80&gt;$C$3+$C$4,"",(K80-$G$26)/$C$4)</f>
        <v>0.79824561403508776</v>
      </c>
      <c r="I81" s="13">
        <f>IF(K80&gt;$C$3+$C$4,"",ROUND(IF(Tableau14[[#This Row],[Temps_Ref]]&gt;0,($F$13*Tableau14[[#This Row],[Temps_Ref]]^4+$G$13*Tableau14[[#This Row],[Temps_Ref]]^3+$H$13*Tableau14[[#This Row],[Temps_Ref]]^2+$I$13)/$J$13,0),1))</f>
        <v>1.7</v>
      </c>
      <c r="J81" s="3">
        <f>IF(K80&gt;$C$3+$C$4,"",Tableau14[[#This Row],[duree_standard]]*Tableau14[[#This Row],[Correction_DuréeEffortIntense]])</f>
        <v>102</v>
      </c>
      <c r="K81" s="3">
        <f>IF(K80&lt;($B$3+$B$4)*60,K80+Tableau14[[#This Row],[Durée_Corrigée]],K80)</f>
        <v>3432</v>
      </c>
      <c r="L81" s="3">
        <f t="shared" ref="L81:L96" si="207">IF(K80&gt;$C$3+$C$4,"",$B$8)</f>
        <v>10</v>
      </c>
      <c r="M81" s="3">
        <f t="shared" ref="M81:M96" si="208">IF(K80&gt;$C$3+$C$4,"",$B$11)</f>
        <v>33</v>
      </c>
    </row>
    <row r="82" spans="2:13" x14ac:dyDescent="0.25">
      <c r="B82" s="15"/>
      <c r="C82" s="3">
        <v>54</v>
      </c>
      <c r="D82" s="3" t="s">
        <v>7</v>
      </c>
      <c r="E82" s="3">
        <f>IF(K81&gt;$C$3+$C$4,"",Tableau14[[#This Row],[cumul_temps]]/60)</f>
        <v>57.7</v>
      </c>
      <c r="F82" s="3">
        <f t="shared" ref="F82:F96" si="209">IF(K81&gt;$C$3+$C$4,"",60*$B$14)</f>
        <v>30</v>
      </c>
      <c r="H82" s="13"/>
      <c r="I82" s="13"/>
      <c r="J82" s="13"/>
      <c r="K82" s="3">
        <f>IF(K81&lt;($B$3+$B$4)*60,K81+Tableau14[[#This Row],[duree_standard]],K81)</f>
        <v>3462</v>
      </c>
      <c r="L82" s="3">
        <f t="shared" ref="L82:L96" si="210">IF(K81&gt;$C$3+$C$4,"",$B$7)</f>
        <v>5</v>
      </c>
      <c r="M82" s="3">
        <f t="shared" ref="M82:M96" si="211">IF(K81&gt;$C$3+$C$4,"",$B$10)</f>
        <v>25</v>
      </c>
    </row>
    <row r="83" spans="2:13" x14ac:dyDescent="0.25">
      <c r="B83" s="15"/>
      <c r="C83" s="3">
        <v>55</v>
      </c>
      <c r="D83" s="3" t="s">
        <v>27</v>
      </c>
      <c r="E83" s="3">
        <f>IF(K82&gt;$C$3+$C$4,"",Tableau14[[#This Row],[cumul_temps]]/60)</f>
        <v>59.3</v>
      </c>
      <c r="F83" s="3">
        <f t="shared" ref="F83:F96" si="212">IF(K82&gt;$C$3+$C$4,"",60*$B$13)</f>
        <v>60</v>
      </c>
      <c r="G83" s="3">
        <f t="shared" ref="G83" si="213">IF(K82&gt;$C$3+$C$4,"",G81+1)</f>
        <v>28</v>
      </c>
      <c r="H83" s="13">
        <f t="shared" ref="H83:H96" si="214">IF(K82&gt;$C$3+$C$4,"",(K82-$G$26)/$C$4)</f>
        <v>0.83684210526315794</v>
      </c>
      <c r="I83" s="13">
        <f>IF(K82&gt;$C$3+$C$4,"",ROUND(IF(Tableau14[[#This Row],[Temps_Ref]]&gt;0,($F$13*Tableau14[[#This Row],[Temps_Ref]]^4+$G$13*Tableau14[[#This Row],[Temps_Ref]]^3+$H$13*Tableau14[[#This Row],[Temps_Ref]]^2+$I$13)/$J$13,0),1))</f>
        <v>1.6</v>
      </c>
      <c r="J83" s="3">
        <f>IF(K82&gt;$C$3+$C$4,"",Tableau14[[#This Row],[duree_standard]]*Tableau14[[#This Row],[Correction_DuréeEffortIntense]])</f>
        <v>96</v>
      </c>
      <c r="K83" s="3">
        <f>IF(K82&lt;($B$3+$B$4)*60,K82+Tableau14[[#This Row],[Durée_Corrigée]],K82)</f>
        <v>3558</v>
      </c>
      <c r="L83" s="3">
        <f t="shared" ref="L83:L96" si="215">IF(K82&gt;$C$3+$C$4,"",$B$8)</f>
        <v>10</v>
      </c>
      <c r="M83" s="3">
        <f t="shared" ref="M83:M96" si="216">IF(K82&gt;$C$3+$C$4,"",$B$11)</f>
        <v>33</v>
      </c>
    </row>
    <row r="84" spans="2:13" x14ac:dyDescent="0.25">
      <c r="B84" s="15"/>
      <c r="C84" s="3">
        <v>56</v>
      </c>
      <c r="D84" s="3" t="s">
        <v>7</v>
      </c>
      <c r="E84" s="3">
        <f>IF(K83&gt;$C$3+$C$4,"",Tableau14[[#This Row],[cumul_temps]]/60)</f>
        <v>59.8</v>
      </c>
      <c r="F84" s="3">
        <f t="shared" ref="F84:F96" si="217">IF(K83&gt;$C$3+$C$4,"",60*$B$14)</f>
        <v>30</v>
      </c>
      <c r="H84" s="13"/>
      <c r="I84" s="13"/>
      <c r="J84" s="13"/>
      <c r="K84" s="3">
        <f>IF(K83&lt;($B$3+$B$4)*60,K83+Tableau14[[#This Row],[duree_standard]],K83)</f>
        <v>3588</v>
      </c>
      <c r="L84" s="3">
        <f t="shared" ref="L84:L96" si="218">IF(K83&gt;$C$3+$C$4,"",$B$7)</f>
        <v>5</v>
      </c>
      <c r="M84" s="3">
        <f t="shared" ref="M84:M96" si="219">IF(K83&gt;$C$3+$C$4,"",$B$10)</f>
        <v>25</v>
      </c>
    </row>
    <row r="85" spans="2:13" x14ac:dyDescent="0.25">
      <c r="B85" s="15"/>
      <c r="C85" s="3">
        <v>57</v>
      </c>
      <c r="D85" s="3" t="s">
        <v>27</v>
      </c>
      <c r="E85" s="3">
        <f>IF(K84&gt;$C$3+$C$4,"",Tableau14[[#This Row],[cumul_temps]]/60)</f>
        <v>61.3</v>
      </c>
      <c r="F85" s="3">
        <f t="shared" ref="F85:F96" si="220">IF(K84&gt;$C$3+$C$4,"",60*$B$13)</f>
        <v>60</v>
      </c>
      <c r="G85" s="3">
        <f t="shared" ref="G85" si="221">IF(K84&gt;$C$3+$C$4,"",G83+1)</f>
        <v>29</v>
      </c>
      <c r="H85" s="13">
        <f t="shared" ref="H85:H96" si="222">IF(K84&gt;$C$3+$C$4,"",(K84-$G$26)/$C$4)</f>
        <v>0.87368421052631584</v>
      </c>
      <c r="I85" s="13">
        <f>IF(K84&gt;$C$3+$C$4,"",ROUND(IF(Tableau14[[#This Row],[Temps_Ref]]&gt;0,($F$13*Tableau14[[#This Row],[Temps_Ref]]^4+$G$13*Tableau14[[#This Row],[Temps_Ref]]^3+$H$13*Tableau14[[#This Row],[Temps_Ref]]^2+$I$13)/$J$13,0),1))</f>
        <v>1.5</v>
      </c>
      <c r="J85" s="3">
        <f>IF(K84&gt;$C$3+$C$4,"",Tableau14[[#This Row],[duree_standard]]*Tableau14[[#This Row],[Correction_DuréeEffortIntense]])</f>
        <v>90</v>
      </c>
      <c r="K85" s="3">
        <f>IF(K84&lt;($B$3+$B$4)*60,K84+Tableau14[[#This Row],[Durée_Corrigée]],K84)</f>
        <v>3678</v>
      </c>
      <c r="L85" s="3">
        <f t="shared" ref="L85:L96" si="223">IF(K84&gt;$C$3+$C$4,"",$B$8)</f>
        <v>10</v>
      </c>
      <c r="M85" s="3">
        <f t="shared" ref="M85:M96" si="224">IF(K84&gt;$C$3+$C$4,"",$B$11)</f>
        <v>33</v>
      </c>
    </row>
    <row r="86" spans="2:13" x14ac:dyDescent="0.25">
      <c r="B86" s="15"/>
      <c r="C86" s="3">
        <v>58</v>
      </c>
      <c r="D86" s="3" t="s">
        <v>7</v>
      </c>
      <c r="E86" s="3">
        <f>IF(K85&gt;$C$3+$C$4,"",Tableau14[[#This Row],[cumul_temps]]/60)</f>
        <v>61.8</v>
      </c>
      <c r="F86" s="3">
        <f t="shared" ref="F86:F96" si="225">IF(K85&gt;$C$3+$C$4,"",60*$B$14)</f>
        <v>30</v>
      </c>
      <c r="H86" s="13"/>
      <c r="I86" s="13"/>
      <c r="J86" s="13"/>
      <c r="K86" s="3">
        <f>IF(K85&lt;($B$3+$B$4)*60,K85+Tableau14[[#This Row],[duree_standard]],K85)</f>
        <v>3708</v>
      </c>
      <c r="L86" s="3">
        <f t="shared" ref="L86:L96" si="226">IF(K85&gt;$C$3+$C$4,"",$B$7)</f>
        <v>5</v>
      </c>
      <c r="M86" s="3">
        <f t="shared" ref="M86:M96" si="227">IF(K85&gt;$C$3+$C$4,"",$B$10)</f>
        <v>25</v>
      </c>
    </row>
    <row r="87" spans="2:13" x14ac:dyDescent="0.25">
      <c r="B87" s="15"/>
      <c r="C87" s="3">
        <v>59</v>
      </c>
      <c r="D87" s="3" t="s">
        <v>27</v>
      </c>
      <c r="E87" s="3">
        <f>IF(K86&gt;$C$3+$C$4,"",Tableau14[[#This Row],[cumul_temps]]/60)</f>
        <v>63.1</v>
      </c>
      <c r="F87" s="3">
        <f t="shared" ref="F87:F96" si="228">IF(K86&gt;$C$3+$C$4,"",60*$B$13)</f>
        <v>60</v>
      </c>
      <c r="G87" s="3">
        <f t="shared" ref="G87" si="229">IF(K86&gt;$C$3+$C$4,"",G85+1)</f>
        <v>30</v>
      </c>
      <c r="H87" s="13">
        <f t="shared" ref="H87:H96" si="230">IF(K86&gt;$C$3+$C$4,"",(K86-$G$26)/$C$4)</f>
        <v>0.90877192982456145</v>
      </c>
      <c r="I87" s="13">
        <f>IF(K86&gt;$C$3+$C$4,"",ROUND(IF(Tableau14[[#This Row],[Temps_Ref]]&gt;0,($F$13*Tableau14[[#This Row],[Temps_Ref]]^4+$G$13*Tableau14[[#This Row],[Temps_Ref]]^3+$H$13*Tableau14[[#This Row],[Temps_Ref]]^2+$I$13)/$J$13,0),1))</f>
        <v>1.3</v>
      </c>
      <c r="J87" s="3">
        <f>IF(K86&gt;$C$3+$C$4,"",Tableau14[[#This Row],[duree_standard]]*Tableau14[[#This Row],[Correction_DuréeEffortIntense]])</f>
        <v>78</v>
      </c>
      <c r="K87" s="3">
        <f>IF(K86&lt;($B$3+$B$4)*60,K86+Tableau14[[#This Row],[Durée_Corrigée]],K86)</f>
        <v>3786</v>
      </c>
      <c r="L87" s="3">
        <f t="shared" ref="L87:L96" si="231">IF(K86&gt;$C$3+$C$4,"",$B$8)</f>
        <v>10</v>
      </c>
      <c r="M87" s="3">
        <f t="shared" ref="M87:M96" si="232">IF(K86&gt;$C$3+$C$4,"",$B$11)</f>
        <v>33</v>
      </c>
    </row>
    <row r="88" spans="2:13" x14ac:dyDescent="0.25">
      <c r="B88" s="15"/>
      <c r="C88" s="3">
        <v>60</v>
      </c>
      <c r="D88" s="3" t="s">
        <v>7</v>
      </c>
      <c r="E88" s="3">
        <f>IF(K87&gt;$C$3+$C$4,"",Tableau14[[#This Row],[cumul_temps]]/60)</f>
        <v>63.6</v>
      </c>
      <c r="F88" s="3">
        <f t="shared" ref="F88:F96" si="233">IF(K87&gt;$C$3+$C$4,"",60*$B$14)</f>
        <v>30</v>
      </c>
      <c r="H88" s="13"/>
      <c r="I88" s="13"/>
      <c r="J88" s="13"/>
      <c r="K88" s="3">
        <f>IF(K87&lt;($B$3+$B$4)*60,K87+Tableau14[[#This Row],[duree_standard]],K87)</f>
        <v>3816</v>
      </c>
      <c r="L88" s="3">
        <f t="shared" ref="L88:L96" si="234">IF(K87&gt;$C$3+$C$4,"",$B$7)</f>
        <v>5</v>
      </c>
      <c r="M88" s="3">
        <f t="shared" ref="M88:M96" si="235">IF(K87&gt;$C$3+$C$4,"",$B$10)</f>
        <v>25</v>
      </c>
    </row>
    <row r="89" spans="2:13" x14ac:dyDescent="0.25">
      <c r="B89" s="15"/>
      <c r="C89" s="3">
        <v>61</v>
      </c>
      <c r="D89" s="3" t="s">
        <v>27</v>
      </c>
      <c r="E89" s="3">
        <f>IF(K88&gt;$C$3+$C$4,"",Tableau14[[#This Row],[cumul_temps]]/60)</f>
        <v>64.8</v>
      </c>
      <c r="F89" s="3">
        <f t="shared" ref="F89:F96" si="236">IF(K88&gt;$C$3+$C$4,"",60*$B$13)</f>
        <v>60</v>
      </c>
      <c r="G89" s="3">
        <f t="shared" ref="G89" si="237">IF(K88&gt;$C$3+$C$4,"",G87+1)</f>
        <v>31</v>
      </c>
      <c r="H89" s="13">
        <f t="shared" ref="H89:H96" si="238">IF(K88&gt;$C$3+$C$4,"",(K88-$G$26)/$C$4)</f>
        <v>0.94035087719298249</v>
      </c>
      <c r="I89" s="13">
        <f>IF(K88&gt;$C$3+$C$4,"",ROUND(IF(Tableau14[[#This Row],[Temps_Ref]]&gt;0,($F$13*Tableau14[[#This Row],[Temps_Ref]]^4+$G$13*Tableau14[[#This Row],[Temps_Ref]]^3+$H$13*Tableau14[[#This Row],[Temps_Ref]]^2+$I$13)/$J$13,0),1))</f>
        <v>1.2</v>
      </c>
      <c r="J89" s="3">
        <f>IF(K88&gt;$C$3+$C$4,"",Tableau14[[#This Row],[duree_standard]]*Tableau14[[#This Row],[Correction_DuréeEffortIntense]])</f>
        <v>72</v>
      </c>
      <c r="K89" s="3">
        <f>IF(K88&lt;($B$3+$B$4)*60,K88+Tableau14[[#This Row],[Durée_Corrigée]],K88)</f>
        <v>3888</v>
      </c>
      <c r="L89" s="3">
        <f t="shared" ref="L89:L96" si="239">IF(K88&gt;$C$3+$C$4,"",$B$8)</f>
        <v>10</v>
      </c>
      <c r="M89" s="3">
        <f t="shared" ref="M89:M96" si="240">IF(K88&gt;$C$3+$C$4,"",$B$11)</f>
        <v>33</v>
      </c>
    </row>
    <row r="90" spans="2:13" x14ac:dyDescent="0.25">
      <c r="B90" s="15"/>
      <c r="C90" s="3">
        <v>62</v>
      </c>
      <c r="D90" s="3" t="s">
        <v>7</v>
      </c>
      <c r="E90" s="3">
        <f>IF(K89&gt;$C$3+$C$4,"",Tableau14[[#This Row],[cumul_temps]]/60)</f>
        <v>65.3</v>
      </c>
      <c r="F90" s="3">
        <f t="shared" ref="F90:F96" si="241">IF(K89&gt;$C$3+$C$4,"",60*$B$14)</f>
        <v>30</v>
      </c>
      <c r="H90" s="13"/>
      <c r="I90" s="13"/>
      <c r="J90" s="13"/>
      <c r="K90" s="3">
        <f>IF(K89&lt;($B$3+$B$4)*60,K89+Tableau14[[#This Row],[duree_standard]],K89)</f>
        <v>3918</v>
      </c>
      <c r="L90" s="3">
        <f t="shared" ref="L90:L96" si="242">IF(K89&gt;$C$3+$C$4,"",$B$7)</f>
        <v>5</v>
      </c>
      <c r="M90" s="3">
        <f t="shared" ref="M90:M96" si="243">IF(K89&gt;$C$3+$C$4,"",$B$10)</f>
        <v>25</v>
      </c>
    </row>
    <row r="91" spans="2:13" x14ac:dyDescent="0.25">
      <c r="B91" s="15"/>
      <c r="C91" s="3">
        <v>63</v>
      </c>
      <c r="D91" s="3" t="s">
        <v>27</v>
      </c>
      <c r="E91" s="3">
        <f>IF(K90&gt;$C$3+$C$4,"",Tableau14[[#This Row],[cumul_temps]]/60)</f>
        <v>66.400000000000006</v>
      </c>
      <c r="F91" s="3">
        <f t="shared" ref="F91:F96" si="244">IF(K90&gt;$C$3+$C$4,"",60*$B$13)</f>
        <v>60</v>
      </c>
      <c r="G91" s="3">
        <f t="shared" ref="G91" si="245">IF(K90&gt;$C$3+$C$4,"",G89+1)</f>
        <v>32</v>
      </c>
      <c r="H91" s="13">
        <f t="shared" ref="H91:H96" si="246">IF(K90&gt;$C$3+$C$4,"",(K90-$G$26)/$C$4)</f>
        <v>0.97017543859649125</v>
      </c>
      <c r="I91" s="13">
        <f>IF(K90&gt;$C$3+$C$4,"",ROUND(IF(Tableau14[[#This Row],[Temps_Ref]]&gt;0,($F$13*Tableau14[[#This Row],[Temps_Ref]]^4+$G$13*Tableau14[[#This Row],[Temps_Ref]]^3+$H$13*Tableau14[[#This Row],[Temps_Ref]]^2+$I$13)/$J$13,0),1))</f>
        <v>1.1000000000000001</v>
      </c>
      <c r="J91" s="3">
        <f>IF(K90&gt;$C$3+$C$4,"",Tableau14[[#This Row],[duree_standard]]*Tableau14[[#This Row],[Correction_DuréeEffortIntense]])</f>
        <v>66</v>
      </c>
      <c r="K91" s="3">
        <f>IF(K90&lt;($B$3+$B$4)*60,K90+Tableau14[[#This Row],[Durée_Corrigée]],K90)</f>
        <v>3984</v>
      </c>
      <c r="L91" s="3">
        <f t="shared" ref="L91:L96" si="247">IF(K90&gt;$C$3+$C$4,"",$B$8)</f>
        <v>10</v>
      </c>
      <c r="M91" s="3">
        <f t="shared" ref="M91:M96" si="248">IF(K90&gt;$C$3+$C$4,"",$B$11)</f>
        <v>33</v>
      </c>
    </row>
    <row r="92" spans="2:13" x14ac:dyDescent="0.25">
      <c r="B92" s="15"/>
      <c r="C92" s="3">
        <v>64</v>
      </c>
      <c r="D92" s="3" t="s">
        <v>7</v>
      </c>
      <c r="E92" s="3">
        <f>IF(K91&gt;$C$3+$C$4,"",Tableau14[[#This Row],[cumul_temps]]/60)</f>
        <v>66.900000000000006</v>
      </c>
      <c r="F92" s="3">
        <f t="shared" ref="F92:F96" si="249">IF(K91&gt;$C$3+$C$4,"",60*$B$14)</f>
        <v>30</v>
      </c>
      <c r="H92" s="13"/>
      <c r="I92" s="13"/>
      <c r="J92" s="13"/>
      <c r="K92" s="3">
        <f>IF(K91&lt;($B$3+$B$4)*60,K91+Tableau14[[#This Row],[duree_standard]],K91)</f>
        <v>4014</v>
      </c>
      <c r="L92" s="3">
        <f t="shared" ref="L92:L96" si="250">IF(K91&gt;$C$3+$C$4,"",$B$7)</f>
        <v>5</v>
      </c>
      <c r="M92" s="3">
        <f t="shared" ref="M92:M96" si="251">IF(K91&gt;$C$3+$C$4,"",$B$10)</f>
        <v>25</v>
      </c>
    </row>
    <row r="93" spans="2:13" x14ac:dyDescent="0.25">
      <c r="B93" s="15"/>
      <c r="C93" s="3">
        <v>65</v>
      </c>
      <c r="D93" s="3" t="s">
        <v>27</v>
      </c>
      <c r="E93" s="3">
        <f>IF(K92&gt;$C$3+$C$4,"",Tableau14[[#This Row],[cumul_temps]]/60)</f>
        <v>67.900000000000006</v>
      </c>
      <c r="F93" s="3">
        <f t="shared" ref="F93:F96" si="252">IF(K92&gt;$C$3+$C$4,"",60*$B$13)</f>
        <v>60</v>
      </c>
      <c r="G93" s="3">
        <f t="shared" ref="G93" si="253">IF(K92&gt;$C$3+$C$4,"",G91+1)</f>
        <v>33</v>
      </c>
      <c r="H93" s="13">
        <f t="shared" ref="H93:H96" si="254">IF(K92&gt;$C$3+$C$4,"",(K92-$G$26)/$C$4)</f>
        <v>0.99824561403508771</v>
      </c>
      <c r="I93" s="13">
        <f>IF(K92&gt;$C$3+$C$4,"",ROUND(IF(Tableau14[[#This Row],[Temps_Ref]]&gt;0,($F$13*Tableau14[[#This Row],[Temps_Ref]]^4+$G$13*Tableau14[[#This Row],[Temps_Ref]]^3+$H$13*Tableau14[[#This Row],[Temps_Ref]]^2+$I$13)/$J$13,0),1))</f>
        <v>1</v>
      </c>
      <c r="J93" s="3">
        <f>IF(K92&gt;$C$3+$C$4,"",Tableau14[[#This Row],[duree_standard]]*Tableau14[[#This Row],[Correction_DuréeEffortIntense]])</f>
        <v>60</v>
      </c>
      <c r="K93" s="3">
        <f>IF(K92&lt;($B$3+$B$4)*60,K92+Tableau14[[#This Row],[Durée_Corrigée]],K92)</f>
        <v>4074</v>
      </c>
      <c r="L93" s="3">
        <f t="shared" ref="L93:L96" si="255">IF(K92&gt;$C$3+$C$4,"",$B$8)</f>
        <v>10</v>
      </c>
      <c r="M93" s="3">
        <f t="shared" ref="M93:M96" si="256">IF(K92&gt;$C$3+$C$4,"",$B$11)</f>
        <v>33</v>
      </c>
    </row>
    <row r="94" spans="2:13" x14ac:dyDescent="0.25">
      <c r="B94" s="15"/>
      <c r="C94" s="3">
        <v>66</v>
      </c>
      <c r="D94" s="3" t="s">
        <v>7</v>
      </c>
      <c r="E94" s="3" t="str">
        <f>IF(K93&gt;$C$3+$C$4,"",Tableau14[[#This Row],[cumul_temps]]/60)</f>
        <v/>
      </c>
      <c r="F94" s="3" t="str">
        <f t="shared" ref="F94:F96" si="257">IF(K93&gt;$C$3+$C$4,"",60*$B$14)</f>
        <v/>
      </c>
      <c r="H94" s="13"/>
      <c r="I94" s="13"/>
      <c r="J94" s="13"/>
      <c r="K94" s="3">
        <f>IF(K93&lt;($B$3+$B$4)*60,K93+Tableau14[[#This Row],[duree_standard]],K93)</f>
        <v>4074</v>
      </c>
      <c r="L94" s="3" t="str">
        <f t="shared" ref="L94:L96" si="258">IF(K93&gt;$C$3+$C$4,"",$B$7)</f>
        <v/>
      </c>
      <c r="M94" s="3" t="str">
        <f t="shared" ref="M94:M96" si="259">IF(K93&gt;$C$3+$C$4,"",$B$10)</f>
        <v/>
      </c>
    </row>
    <row r="95" spans="2:13" x14ac:dyDescent="0.25">
      <c r="B95" s="15"/>
      <c r="C95" s="3">
        <v>67</v>
      </c>
      <c r="D95" s="3" t="s">
        <v>27</v>
      </c>
      <c r="E95" s="3" t="str">
        <f>IF(K94&gt;$C$3+$C$4,"",Tableau14[[#This Row],[cumul_temps]]/60)</f>
        <v/>
      </c>
      <c r="F95" s="3" t="str">
        <f t="shared" ref="F95:F96" si="260">IF(K94&gt;$C$3+$C$4,"",60*$B$13)</f>
        <v/>
      </c>
      <c r="G95" s="3" t="str">
        <f t="shared" ref="G95" si="261">IF(K94&gt;$C$3+$C$4,"",G93+1)</f>
        <v/>
      </c>
      <c r="H95" s="13" t="str">
        <f t="shared" ref="H95:H96" si="262">IF(K94&gt;$C$3+$C$4,"",(K94-$G$26)/$C$4)</f>
        <v/>
      </c>
      <c r="I95" s="13" t="str">
        <f>IF(K94&gt;$C$3+$C$4,"",ROUND(IF(Tableau14[[#This Row],[Temps_Ref]]&gt;0,($F$13*Tableau14[[#This Row],[Temps_Ref]]^4+$G$13*Tableau14[[#This Row],[Temps_Ref]]^3+$H$13*Tableau14[[#This Row],[Temps_Ref]]^2+$I$13)/$J$13,0),1))</f>
        <v/>
      </c>
      <c r="J95" s="3" t="str">
        <f>IF(K94&gt;$C$3+$C$4,"",Tableau14[[#This Row],[duree_standard]]*Tableau14[[#This Row],[Correction_DuréeEffortIntense]])</f>
        <v/>
      </c>
      <c r="K95" s="3">
        <f>IF(K94&lt;($B$3+$B$4)*60,K94+Tableau14[[#This Row],[Durée_Corrigée]],K94)</f>
        <v>4074</v>
      </c>
      <c r="L95" s="3" t="str">
        <f t="shared" ref="L95:L96" si="263">IF(K94&gt;$C$3+$C$4,"",$B$8)</f>
        <v/>
      </c>
      <c r="M95" s="3" t="str">
        <f t="shared" ref="M95:M96" si="264">IF(K94&gt;$C$3+$C$4,"",$B$11)</f>
        <v/>
      </c>
    </row>
    <row r="96" spans="2:13" x14ac:dyDescent="0.25">
      <c r="B96" s="16"/>
      <c r="C96" s="3">
        <v>68</v>
      </c>
      <c r="D96" s="3" t="s">
        <v>7</v>
      </c>
      <c r="E96" s="3" t="str">
        <f>IF(K95&gt;$C$3+$C$4,"",Tableau14[[#This Row],[cumul_temps]]/60)</f>
        <v/>
      </c>
      <c r="F96" s="3" t="str">
        <f t="shared" ref="F96" si="265">IF(K95&gt;$C$3+$C$4,"",60*$B$14)</f>
        <v/>
      </c>
      <c r="H96" s="13"/>
      <c r="I96" s="13"/>
      <c r="J96" s="13"/>
      <c r="K96" s="3">
        <f>IF(K95&lt;($B$3+$B$4)*60,K95+Tableau14[[#This Row],[duree_standard]],K95)</f>
        <v>4074</v>
      </c>
      <c r="L96" s="3" t="str">
        <f t="shared" ref="L96" si="266">IF(K95&gt;$C$3+$C$4,"",$B$7)</f>
        <v/>
      </c>
      <c r="M96" s="3" t="str">
        <f t="shared" ref="M96" si="267">IF(K95&gt;$C$3+$C$4,"",$B$10)</f>
        <v/>
      </c>
    </row>
    <row r="98" spans="2:10" x14ac:dyDescent="0.25">
      <c r="B98" s="14" t="s">
        <v>15</v>
      </c>
      <c r="C98" s="3" t="s">
        <v>0</v>
      </c>
      <c r="D98" s="3" t="s">
        <v>1</v>
      </c>
      <c r="E98" s="3" t="s">
        <v>2</v>
      </c>
      <c r="F98" s="3" t="s">
        <v>3</v>
      </c>
      <c r="G98" s="3" t="s">
        <v>22</v>
      </c>
      <c r="H98" s="3" t="s">
        <v>4</v>
      </c>
      <c r="I98" s="3" t="s">
        <v>5</v>
      </c>
      <c r="J98"/>
    </row>
    <row r="99" spans="2:10" x14ac:dyDescent="0.25">
      <c r="B99" s="15"/>
      <c r="C99" s="3">
        <v>1</v>
      </c>
      <c r="D99" s="3" t="s">
        <v>7</v>
      </c>
      <c r="E99" s="3">
        <f>$K$96/60</f>
        <v>67.900000000000006</v>
      </c>
      <c r="F99" s="3">
        <v>60</v>
      </c>
      <c r="G99" s="3">
        <f>$K$96+Tableau15[[#This Row],[duree_s]]</f>
        <v>4134</v>
      </c>
      <c r="H99" s="3">
        <f t="shared" ref="H99" si="268">$B$7</f>
        <v>5</v>
      </c>
      <c r="I99" s="3">
        <f t="shared" ref="I99" si="269">$B$10</f>
        <v>25</v>
      </c>
      <c r="J99"/>
    </row>
    <row r="100" spans="2:10" x14ac:dyDescent="0.25">
      <c r="B100" s="15"/>
      <c r="C100" s="3">
        <v>2</v>
      </c>
      <c r="D100" s="3" t="s">
        <v>24</v>
      </c>
      <c r="E100" s="3">
        <f>G99/60</f>
        <v>68.900000000000006</v>
      </c>
      <c r="F100" s="3">
        <v>60</v>
      </c>
      <c r="G100" s="3">
        <f>+G99+Tableau15[[#This Row],[duree_s]]</f>
        <v>4194</v>
      </c>
      <c r="H100" s="3">
        <f>ROUND($B$7+($B$8-$B$7)*2/3,0)</f>
        <v>8</v>
      </c>
      <c r="I100" s="3">
        <f>ROUND($B$10+($B$11-$B$10)*2/3,0)</f>
        <v>30</v>
      </c>
      <c r="J100"/>
    </row>
    <row r="101" spans="2:10" x14ac:dyDescent="0.25">
      <c r="B101" s="15"/>
      <c r="C101" s="3">
        <v>3</v>
      </c>
      <c r="D101" s="3" t="s">
        <v>7</v>
      </c>
      <c r="E101" s="3">
        <f t="shared" ref="E101:E105" si="270">G100/60</f>
        <v>69.900000000000006</v>
      </c>
      <c r="F101" s="3">
        <v>60</v>
      </c>
      <c r="G101" s="3">
        <f>+G100+Tableau15[[#This Row],[duree_s]]</f>
        <v>4254</v>
      </c>
      <c r="H101" s="3">
        <f t="shared" ref="H101" si="271">$B$7</f>
        <v>5</v>
      </c>
      <c r="I101" s="3">
        <f t="shared" ref="I101" si="272">$B$10</f>
        <v>25</v>
      </c>
      <c r="J101"/>
    </row>
    <row r="102" spans="2:10" x14ac:dyDescent="0.25">
      <c r="B102" s="15"/>
      <c r="C102" s="3">
        <v>6</v>
      </c>
      <c r="D102" s="3" t="s">
        <v>23</v>
      </c>
      <c r="E102" s="3">
        <f t="shared" si="270"/>
        <v>70.900000000000006</v>
      </c>
      <c r="F102" s="3">
        <v>60</v>
      </c>
      <c r="G102" s="3">
        <f>+G101+Tableau15[[#This Row],[duree_s]]</f>
        <v>4314</v>
      </c>
      <c r="H102" s="3">
        <f>ROUND($B$7+($B$8-$B$7)/3,0)</f>
        <v>7</v>
      </c>
      <c r="I102" s="3">
        <f>ROUND($B$10+($B$11-$B$10)*2/3,0)</f>
        <v>30</v>
      </c>
      <c r="J102"/>
    </row>
    <row r="103" spans="2:10" x14ac:dyDescent="0.25">
      <c r="B103" s="15"/>
      <c r="C103" s="3">
        <v>7</v>
      </c>
      <c r="D103" s="3" t="s">
        <v>7</v>
      </c>
      <c r="E103" s="3">
        <f t="shared" si="270"/>
        <v>71.900000000000006</v>
      </c>
      <c r="F103" s="3">
        <v>60</v>
      </c>
      <c r="G103" s="3">
        <f>+G102+Tableau15[[#This Row],[duree_s]]</f>
        <v>4374</v>
      </c>
      <c r="H103" s="3">
        <f t="shared" ref="H103" si="273">$B$7</f>
        <v>5</v>
      </c>
      <c r="I103" s="3">
        <f t="shared" ref="I103" si="274">$B$10</f>
        <v>25</v>
      </c>
      <c r="J103"/>
    </row>
    <row r="104" spans="2:10" x14ac:dyDescent="0.25">
      <c r="B104" s="15"/>
      <c r="C104" s="3">
        <v>8</v>
      </c>
      <c r="D104" s="3" t="s">
        <v>23</v>
      </c>
      <c r="E104" s="3">
        <f t="shared" si="270"/>
        <v>72.900000000000006</v>
      </c>
      <c r="F104" s="3">
        <v>60</v>
      </c>
      <c r="G104" s="3">
        <f>+G103+Tableau15[[#This Row],[duree_s]]</f>
        <v>4434</v>
      </c>
      <c r="H104" s="3">
        <f>$B$7</f>
        <v>5</v>
      </c>
      <c r="I104" s="3">
        <f>ROUND($B$10+($B$11-$B$10)/3,0)</f>
        <v>28</v>
      </c>
      <c r="J104"/>
    </row>
    <row r="105" spans="2:10" x14ac:dyDescent="0.25">
      <c r="B105" s="16"/>
      <c r="C105" s="3">
        <v>9</v>
      </c>
      <c r="D105" s="3" t="s">
        <v>7</v>
      </c>
      <c r="E105" s="3">
        <f t="shared" si="270"/>
        <v>73.900000000000006</v>
      </c>
      <c r="F105" s="3">
        <f>$D$1*60-G104</f>
        <v>66</v>
      </c>
      <c r="G105" s="3">
        <f>+G104+Tableau15[[#This Row],[duree_s]]</f>
        <v>4500</v>
      </c>
      <c r="H105" s="3">
        <v>2</v>
      </c>
      <c r="I105" s="3">
        <v>22</v>
      </c>
      <c r="J105"/>
    </row>
  </sheetData>
  <mergeCells count="4">
    <mergeCell ref="B17:B26"/>
    <mergeCell ref="B28:B96"/>
    <mergeCell ref="B98:B105"/>
    <mergeCell ref="E11:J11"/>
  </mergeCells>
  <phoneticPr fontId="23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068AE-1A9B-4772-B132-5F9ABD016301}">
  <dimension ref="A1:M105"/>
  <sheetViews>
    <sheetView zoomScale="85" zoomScaleNormal="85" workbookViewId="0">
      <pane xSplit="3" ySplit="14" topLeftCell="D63" activePane="bottomRight" state="frozen"/>
      <selection pane="topRight" activeCell="D1" sqref="D1"/>
      <selection pane="bottomLeft" activeCell="A16" sqref="A16"/>
      <selection pane="bottomRight" activeCell="B13" sqref="B13"/>
    </sheetView>
  </sheetViews>
  <sheetFormatPr baseColWidth="10" defaultRowHeight="15" x14ac:dyDescent="0.25"/>
  <cols>
    <col min="1" max="1" width="38.85546875" bestFit="1" customWidth="1"/>
    <col min="2" max="2" width="15.140625" bestFit="1" customWidth="1"/>
    <col min="3" max="3" width="13.140625" style="3" bestFit="1" customWidth="1"/>
    <col min="4" max="4" width="15.140625" style="3" bestFit="1" customWidth="1"/>
    <col min="5" max="5" width="15.28515625" style="3" bestFit="1" customWidth="1"/>
    <col min="6" max="6" width="13.140625" style="3" bestFit="1" customWidth="1"/>
    <col min="7" max="7" width="25.42578125" style="3" bestFit="1" customWidth="1"/>
    <col min="8" max="8" width="23.7109375" style="3" bestFit="1" customWidth="1"/>
    <col min="9" max="9" width="15.140625" style="3" customWidth="1"/>
    <col min="10" max="10" width="19.85546875" style="3" bestFit="1" customWidth="1"/>
    <col min="11" max="12" width="18" bestFit="1" customWidth="1"/>
    <col min="13" max="13" width="9.5703125" bestFit="1" customWidth="1"/>
  </cols>
  <sheetData>
    <row r="1" spans="1:10" ht="18.75" x14ac:dyDescent="0.3">
      <c r="A1" s="2" t="s">
        <v>41</v>
      </c>
      <c r="B1" s="2">
        <v>25</v>
      </c>
      <c r="C1" s="4" t="s">
        <v>18</v>
      </c>
      <c r="D1" s="3">
        <f>IF($B$1&lt;25,25,IF($B$1&gt;75,75,$B$1))</f>
        <v>25</v>
      </c>
      <c r="E1" s="3">
        <f>$G$105/60</f>
        <v>25</v>
      </c>
    </row>
    <row r="2" spans="1:10" x14ac:dyDescent="0.25">
      <c r="A2" s="1" t="s">
        <v>14</v>
      </c>
      <c r="B2" s="1">
        <f>+D1*60</f>
        <v>1500</v>
      </c>
    </row>
    <row r="3" spans="1:10" x14ac:dyDescent="0.25">
      <c r="A3" s="1" t="s">
        <v>16</v>
      </c>
      <c r="B3" s="1">
        <f>10</f>
        <v>10</v>
      </c>
      <c r="C3" s="6">
        <f>+B3*60</f>
        <v>600</v>
      </c>
    </row>
    <row r="4" spans="1:10" x14ac:dyDescent="0.25">
      <c r="A4" s="1" t="s">
        <v>25</v>
      </c>
      <c r="B4" s="1">
        <f>+D1-(B3+B5)</f>
        <v>7</v>
      </c>
      <c r="C4" s="6">
        <f t="shared" ref="C4:C5" si="0">+B4*60</f>
        <v>420</v>
      </c>
    </row>
    <row r="5" spans="1:10" x14ac:dyDescent="0.25">
      <c r="A5" s="1" t="s">
        <v>17</v>
      </c>
      <c r="B5" s="1">
        <v>8</v>
      </c>
      <c r="C5" s="6">
        <f t="shared" si="0"/>
        <v>480</v>
      </c>
    </row>
    <row r="6" spans="1:10" ht="18.75" x14ac:dyDescent="0.3">
      <c r="A6" s="2" t="s">
        <v>19</v>
      </c>
      <c r="B6" s="2">
        <v>2</v>
      </c>
    </row>
    <row r="7" spans="1:10" x14ac:dyDescent="0.25">
      <c r="A7" s="1" t="s">
        <v>8</v>
      </c>
      <c r="B7" s="1">
        <f>ROUND(2 + ($B$6-1)*6/9,0)</f>
        <v>3</v>
      </c>
    </row>
    <row r="8" spans="1:10" x14ac:dyDescent="0.25">
      <c r="A8" s="1" t="s">
        <v>9</v>
      </c>
      <c r="B8" s="1">
        <f>ROUND(6 + ($B$6-1)*10/9,0)</f>
        <v>7</v>
      </c>
    </row>
    <row r="9" spans="1:10" ht="18.75" x14ac:dyDescent="0.3">
      <c r="A9" s="2" t="s">
        <v>20</v>
      </c>
      <c r="B9" s="2">
        <v>5</v>
      </c>
    </row>
    <row r="10" spans="1:10" x14ac:dyDescent="0.25">
      <c r="A10" s="1" t="s">
        <v>10</v>
      </c>
      <c r="B10" s="1">
        <f>ROUND(22 + ($B$9-1)*6/9,0)</f>
        <v>25</v>
      </c>
    </row>
    <row r="11" spans="1:10" ht="15.75" x14ac:dyDescent="0.25">
      <c r="A11" s="1" t="s">
        <v>11</v>
      </c>
      <c r="B11" s="1">
        <f>ROUND(30 + ($B$9-1)*6/9,0)</f>
        <v>33</v>
      </c>
      <c r="E11" s="17" t="s">
        <v>40</v>
      </c>
      <c r="F11" s="18"/>
      <c r="G11" s="18"/>
      <c r="H11" s="18"/>
      <c r="I11" s="18"/>
      <c r="J11" s="19"/>
    </row>
    <row r="12" spans="1:10" ht="18.75" x14ac:dyDescent="0.3">
      <c r="A12" s="2" t="s">
        <v>12</v>
      </c>
      <c r="B12" s="2">
        <v>10</v>
      </c>
      <c r="C12" s="21" t="s">
        <v>42</v>
      </c>
      <c r="E12" s="7" t="s">
        <v>39</v>
      </c>
      <c r="F12" s="8" t="s">
        <v>33</v>
      </c>
      <c r="G12" s="8" t="s">
        <v>35</v>
      </c>
      <c r="H12" s="8" t="s">
        <v>36</v>
      </c>
      <c r="I12" s="8" t="s">
        <v>34</v>
      </c>
      <c r="J12" s="9" t="s">
        <v>37</v>
      </c>
    </row>
    <row r="13" spans="1:10" x14ac:dyDescent="0.25">
      <c r="A13" s="1" t="s">
        <v>32</v>
      </c>
      <c r="B13" s="5">
        <f>ROUND(((1-$C$13)*$B$12+10*$C$13-1)/9*$B$14,1)</f>
        <v>2.5</v>
      </c>
      <c r="C13" s="20">
        <v>2</v>
      </c>
      <c r="E13" s="10">
        <f>103/72</f>
        <v>1.4305555555555556</v>
      </c>
      <c r="F13" s="11">
        <v>425</v>
      </c>
      <c r="G13" s="11">
        <v>-1010</v>
      </c>
      <c r="H13" s="11">
        <v>603</v>
      </c>
      <c r="I13" s="11">
        <v>18</v>
      </c>
      <c r="J13" s="12">
        <v>36</v>
      </c>
    </row>
    <row r="14" spans="1:10" x14ac:dyDescent="0.25">
      <c r="A14" s="1" t="s">
        <v>21</v>
      </c>
      <c r="B14" s="5">
        <f>ROUND(0.5 + (B12-1)*2/9,1)</f>
        <v>2.5</v>
      </c>
    </row>
    <row r="15" spans="1:10" x14ac:dyDescent="0.25">
      <c r="A15" s="1"/>
      <c r="B15" s="1"/>
    </row>
    <row r="17" spans="2:13" x14ac:dyDescent="0.25">
      <c r="B17" s="14" t="s">
        <v>13</v>
      </c>
      <c r="C17" s="3" t="s">
        <v>0</v>
      </c>
      <c r="D17" s="3" t="s">
        <v>1</v>
      </c>
      <c r="E17" s="3" t="s">
        <v>2</v>
      </c>
      <c r="F17" s="3" t="s">
        <v>3</v>
      </c>
      <c r="G17" s="3" t="s">
        <v>22</v>
      </c>
      <c r="H17" s="3" t="s">
        <v>4</v>
      </c>
      <c r="I17" s="3" t="s">
        <v>5</v>
      </c>
      <c r="J17"/>
    </row>
    <row r="18" spans="2:13" x14ac:dyDescent="0.25">
      <c r="B18" s="15"/>
      <c r="C18" s="3">
        <v>1</v>
      </c>
      <c r="D18" s="3" t="s">
        <v>6</v>
      </c>
      <c r="E18" s="3">
        <v>0</v>
      </c>
      <c r="F18" s="3">
        <v>120</v>
      </c>
      <c r="G18" s="3">
        <f>+F18</f>
        <v>120</v>
      </c>
      <c r="H18" s="3">
        <v>2</v>
      </c>
      <c r="I18" s="3">
        <v>22</v>
      </c>
      <c r="J18"/>
    </row>
    <row r="19" spans="2:13" x14ac:dyDescent="0.25">
      <c r="B19" s="15"/>
      <c r="C19" s="3">
        <v>2</v>
      </c>
      <c r="D19" s="3" t="s">
        <v>23</v>
      </c>
      <c r="E19" s="3">
        <f>+G18/60</f>
        <v>2</v>
      </c>
      <c r="F19" s="3">
        <v>60</v>
      </c>
      <c r="G19" s="3">
        <f t="shared" ref="G19:G26" si="1">+G18+F19</f>
        <v>180</v>
      </c>
      <c r="H19" s="3">
        <f>$B$7</f>
        <v>3</v>
      </c>
      <c r="I19" s="3">
        <f>ROUND($B$10+($B$11-$B$10)/3,0)</f>
        <v>28</v>
      </c>
      <c r="J19"/>
    </row>
    <row r="20" spans="2:13" x14ac:dyDescent="0.25">
      <c r="B20" s="15"/>
      <c r="C20" s="3">
        <v>3</v>
      </c>
      <c r="D20" s="3" t="s">
        <v>7</v>
      </c>
      <c r="E20" s="3">
        <f t="shared" ref="E20:E26" si="2">+G19/60</f>
        <v>3</v>
      </c>
      <c r="F20" s="3">
        <v>60</v>
      </c>
      <c r="G20" s="3">
        <f t="shared" si="1"/>
        <v>240</v>
      </c>
      <c r="H20" s="3">
        <v>2</v>
      </c>
      <c r="I20" s="3">
        <v>22</v>
      </c>
      <c r="J20"/>
    </row>
    <row r="21" spans="2:13" x14ac:dyDescent="0.25">
      <c r="B21" s="15"/>
      <c r="C21" s="3">
        <v>4</v>
      </c>
      <c r="D21" s="3" t="s">
        <v>24</v>
      </c>
      <c r="E21" s="3">
        <f t="shared" si="2"/>
        <v>4</v>
      </c>
      <c r="F21" s="3">
        <v>60</v>
      </c>
      <c r="G21" s="3">
        <f t="shared" si="1"/>
        <v>300</v>
      </c>
      <c r="H21" s="3">
        <f>ROUND($B$7+($B$8-$B$7)/3,0)</f>
        <v>4</v>
      </c>
      <c r="I21" s="3">
        <f>ROUND($B$10+($B$11-$B$10)/3,0)</f>
        <v>28</v>
      </c>
      <c r="J21"/>
    </row>
    <row r="22" spans="2:13" x14ac:dyDescent="0.25">
      <c r="B22" s="15"/>
      <c r="C22" s="3">
        <v>5</v>
      </c>
      <c r="D22" s="3" t="s">
        <v>7</v>
      </c>
      <c r="E22" s="3">
        <f t="shared" si="2"/>
        <v>5</v>
      </c>
      <c r="F22" s="3">
        <v>60</v>
      </c>
      <c r="G22" s="3">
        <f t="shared" si="1"/>
        <v>360</v>
      </c>
      <c r="H22" s="3">
        <f t="shared" ref="H22" si="3">$B$7</f>
        <v>3</v>
      </c>
      <c r="I22" s="3">
        <f t="shared" ref="I22" si="4">$B$10</f>
        <v>25</v>
      </c>
      <c r="J22"/>
    </row>
    <row r="23" spans="2:13" x14ac:dyDescent="0.25">
      <c r="B23" s="15"/>
      <c r="C23" s="3">
        <v>6</v>
      </c>
      <c r="D23" s="3" t="s">
        <v>23</v>
      </c>
      <c r="E23" s="3">
        <f t="shared" si="2"/>
        <v>6</v>
      </c>
      <c r="F23" s="3">
        <v>60</v>
      </c>
      <c r="G23" s="3">
        <f t="shared" si="1"/>
        <v>420</v>
      </c>
      <c r="H23" s="3">
        <f>ROUND($B$7+($B$8-$B$7)/3,0)</f>
        <v>4</v>
      </c>
      <c r="I23" s="3">
        <f>ROUND($B$10+($B$11-$B$10)*2/3,0)</f>
        <v>30</v>
      </c>
      <c r="J23"/>
    </row>
    <row r="24" spans="2:13" x14ac:dyDescent="0.25">
      <c r="B24" s="15"/>
      <c r="C24" s="3">
        <v>7</v>
      </c>
      <c r="D24" s="3" t="s">
        <v>7</v>
      </c>
      <c r="E24" s="3">
        <f t="shared" si="2"/>
        <v>7</v>
      </c>
      <c r="F24" s="3">
        <v>60</v>
      </c>
      <c r="G24" s="3">
        <f t="shared" si="1"/>
        <v>480</v>
      </c>
      <c r="H24" s="3">
        <f t="shared" ref="H24" si="5">$B$7</f>
        <v>3</v>
      </c>
      <c r="I24" s="3">
        <f t="shared" ref="I24" si="6">$B$10</f>
        <v>25</v>
      </c>
      <c r="J24"/>
    </row>
    <row r="25" spans="2:13" x14ac:dyDescent="0.25">
      <c r="B25" s="15"/>
      <c r="C25" s="3">
        <v>8</v>
      </c>
      <c r="D25" s="3" t="s">
        <v>24</v>
      </c>
      <c r="E25" s="3">
        <f t="shared" si="2"/>
        <v>8</v>
      </c>
      <c r="F25" s="3">
        <v>60</v>
      </c>
      <c r="G25" s="3">
        <f t="shared" si="1"/>
        <v>540</v>
      </c>
      <c r="H25" s="3">
        <f>ROUND($B$7+($B$8-$B$7)*2/3,0)</f>
        <v>6</v>
      </c>
      <c r="I25" s="3">
        <f>ROUND($B$10+($B$11-$B$10)*2/3,0)</f>
        <v>30</v>
      </c>
      <c r="J25"/>
    </row>
    <row r="26" spans="2:13" x14ac:dyDescent="0.25">
      <c r="B26" s="16"/>
      <c r="C26" s="3">
        <v>9</v>
      </c>
      <c r="D26" s="3" t="s">
        <v>7</v>
      </c>
      <c r="E26" s="3">
        <f t="shared" si="2"/>
        <v>9</v>
      </c>
      <c r="F26" s="3">
        <v>60</v>
      </c>
      <c r="G26" s="3">
        <f t="shared" si="1"/>
        <v>600</v>
      </c>
      <c r="H26" s="3">
        <f t="shared" ref="H26" si="7">$B$7</f>
        <v>3</v>
      </c>
      <c r="I26" s="3">
        <f t="shared" ref="I26" si="8">$B$10</f>
        <v>25</v>
      </c>
      <c r="J26"/>
    </row>
    <row r="28" spans="2:13" ht="15" customHeight="1" x14ac:dyDescent="0.25">
      <c r="B28" s="14" t="s">
        <v>26</v>
      </c>
      <c r="C28" s="3" t="s">
        <v>0</v>
      </c>
      <c r="D28" s="3" t="s">
        <v>1</v>
      </c>
      <c r="E28" s="3" t="s">
        <v>2</v>
      </c>
      <c r="F28" s="3" t="s">
        <v>30</v>
      </c>
      <c r="G28" s="3" t="s">
        <v>28</v>
      </c>
      <c r="H28" s="3" t="s">
        <v>38</v>
      </c>
      <c r="I28" s="3" t="s">
        <v>29</v>
      </c>
      <c r="J28" s="3" t="s">
        <v>31</v>
      </c>
      <c r="K28" s="3" t="s">
        <v>22</v>
      </c>
      <c r="L28" s="3" t="s">
        <v>4</v>
      </c>
      <c r="M28" s="3" t="s">
        <v>5</v>
      </c>
    </row>
    <row r="29" spans="2:13" x14ac:dyDescent="0.25">
      <c r="B29" s="15"/>
      <c r="C29" s="3">
        <v>1</v>
      </c>
      <c r="D29" s="3" t="s">
        <v>27</v>
      </c>
      <c r="E29" s="3">
        <f>$G$26/60</f>
        <v>10</v>
      </c>
      <c r="F29" s="3">
        <f>60*$B$13</f>
        <v>150</v>
      </c>
      <c r="G29" s="3">
        <v>1</v>
      </c>
      <c r="H29" s="13">
        <v>0</v>
      </c>
      <c r="I29" s="13">
        <f>ROUND(($F$13*Tableau146[[#This Row],[Temps_Ref]]^4+$G$13*Tableau146[[#This Row],[Temps_Ref]]^3+$H$13*Tableau146[[#This Row],[Temps_Ref]]^2+$I$13)/$J$13,1)</f>
        <v>0.5</v>
      </c>
      <c r="J29" s="3">
        <f>Tableau146[[#This Row],[duree_standard]]*Tableau146[[#This Row],[Correction_DuréeEffortIntense]]</f>
        <v>75</v>
      </c>
      <c r="K29" s="3">
        <f>$G$26+Tableau146[[#This Row],[Durée_Corrigée]]</f>
        <v>675</v>
      </c>
      <c r="L29" s="3">
        <f>$B$8</f>
        <v>7</v>
      </c>
      <c r="M29" s="3">
        <f>$B$11</f>
        <v>33</v>
      </c>
    </row>
    <row r="30" spans="2:13" x14ac:dyDescent="0.25">
      <c r="B30" s="15"/>
      <c r="C30" s="3">
        <v>2</v>
      </c>
      <c r="D30" s="3" t="s">
        <v>7</v>
      </c>
      <c r="E30" s="3">
        <f>IF(K29&gt;$C$3+$C$4,"",Tableau146[[#This Row],[cumul_temps]]/60)</f>
        <v>13.75</v>
      </c>
      <c r="F30" s="3">
        <f>IF(K29&gt;$C$3+$C$4,"",60*$B$14)</f>
        <v>150</v>
      </c>
      <c r="H30" s="13"/>
      <c r="I30" s="13"/>
      <c r="J30" s="13"/>
      <c r="K30" s="3">
        <f>IF(K29&lt;($B$3+$B$4)*60,K29+Tableau146[[#This Row],[duree_standard]],K29)</f>
        <v>825</v>
      </c>
      <c r="L30" s="3">
        <f>IF(K29&gt;$C$3+$C$4,"",$B$7)</f>
        <v>3</v>
      </c>
      <c r="M30" s="3">
        <f>IF(K29&gt;$C$3+$C$4,"",$B$10)</f>
        <v>25</v>
      </c>
    </row>
    <row r="31" spans="2:13" x14ac:dyDescent="0.25">
      <c r="B31" s="15"/>
      <c r="C31" s="3">
        <v>3</v>
      </c>
      <c r="D31" s="3" t="s">
        <v>27</v>
      </c>
      <c r="E31" s="3">
        <f>IF(K30&gt;$C$3+$C$4,"",Tableau146[[#This Row],[cumul_temps]]/60)</f>
        <v>18.75</v>
      </c>
      <c r="F31" s="3">
        <f>IF(K30&gt;$C$3+$C$4,"",60*$B$13)</f>
        <v>150</v>
      </c>
      <c r="G31" s="3">
        <f>IF(K30&gt;$C$3+$C$4,"",G29+1)</f>
        <v>2</v>
      </c>
      <c r="H31" s="13">
        <f>IF(K30&gt;$C$3+$C$4,"",(K30-$G$26)/$C$4)</f>
        <v>0.5357142857142857</v>
      </c>
      <c r="I31" s="13">
        <f>IF(K30&gt;$C$3+$C$4,"",ROUND(IF(Tableau146[[#This Row],[Temps_Ref]]&gt;0,($F$13*Tableau146[[#This Row],[Temps_Ref]]^4+$G$13*Tableau146[[#This Row],[Temps_Ref]]^3+$H$13*Tableau146[[#This Row],[Temps_Ref]]^2+$I$13)/$J$13,0),1))</f>
        <v>2</v>
      </c>
      <c r="J31" s="3">
        <f>IF(K30&gt;$C$3+$C$4,"",Tableau146[[#This Row],[duree_standard]]*Tableau146[[#This Row],[Correction_DuréeEffortIntense]])</f>
        <v>300</v>
      </c>
      <c r="K31" s="3">
        <f>IF(K30&lt;($B$3+$B$4)*60,K30+Tableau146[[#This Row],[Durée_Corrigée]],K30)</f>
        <v>1125</v>
      </c>
      <c r="L31" s="3">
        <f>IF(K30&gt;$C$3+$C$4,"",$B$8)</f>
        <v>7</v>
      </c>
      <c r="M31" s="3">
        <f>IF(K30&gt;$C$3+$C$4,"",$B$11)</f>
        <v>33</v>
      </c>
    </row>
    <row r="32" spans="2:13" x14ac:dyDescent="0.25">
      <c r="B32" s="15"/>
      <c r="C32" s="3">
        <v>4</v>
      </c>
      <c r="D32" s="3" t="s">
        <v>7</v>
      </c>
      <c r="E32" s="3" t="str">
        <f>IF(K31&gt;$C$3+$C$4,"",Tableau146[[#This Row],[cumul_temps]]/60)</f>
        <v/>
      </c>
      <c r="F32" s="3" t="str">
        <f t="shared" ref="F32" si="9">IF(K31&gt;$C$3+$C$4,"",60*$B$14)</f>
        <v/>
      </c>
      <c r="H32" s="13"/>
      <c r="I32" s="13"/>
      <c r="J32" s="13"/>
      <c r="K32" s="3">
        <f>IF(K31&lt;($B$3+$B$4)*60,K31+Tableau146[[#This Row],[duree_standard]],K31)</f>
        <v>1125</v>
      </c>
      <c r="L32" s="3" t="str">
        <f t="shared" ref="L32:L63" si="10">IF(K31&gt;$C$3+$C$4,"",$B$7)</f>
        <v/>
      </c>
      <c r="M32" s="3" t="str">
        <f t="shared" ref="M32:M63" si="11">IF(K31&gt;$C$3+$C$4,"",$B$10)</f>
        <v/>
      </c>
    </row>
    <row r="33" spans="2:13" x14ac:dyDescent="0.25">
      <c r="B33" s="15"/>
      <c r="C33" s="3">
        <v>5</v>
      </c>
      <c r="D33" s="3" t="s">
        <v>27</v>
      </c>
      <c r="E33" s="3" t="str">
        <f>IF(K32&gt;$C$3+$C$4,"",Tableau146[[#This Row],[cumul_temps]]/60)</f>
        <v/>
      </c>
      <c r="F33" s="3" t="str">
        <f t="shared" ref="F33" si="12">IF(K32&gt;$C$3+$C$4,"",60*$B$13)</f>
        <v/>
      </c>
      <c r="G33" s="3" t="str">
        <f t="shared" ref="G33" si="13">IF(K32&gt;$C$3+$C$4,"",G31+1)</f>
        <v/>
      </c>
      <c r="H33" s="13" t="str">
        <f t="shared" ref="H33" si="14">IF(K32&gt;$C$3+$C$4,"",(K32-$G$26)/$C$4)</f>
        <v/>
      </c>
      <c r="I33" s="13" t="str">
        <f>IF(K32&gt;$C$3+$C$4,"",ROUND(IF(Tableau146[[#This Row],[Temps_Ref]]&gt;0,($F$13*Tableau146[[#This Row],[Temps_Ref]]^4+$G$13*Tableau146[[#This Row],[Temps_Ref]]^3+$H$13*Tableau146[[#This Row],[Temps_Ref]]^2+$I$13)/$J$13,0),1))</f>
        <v/>
      </c>
      <c r="J33" s="3" t="str">
        <f>IF(K32&gt;$C$3+$C$4,"",Tableau146[[#This Row],[duree_standard]]*Tableau146[[#This Row],[Correction_DuréeEffortIntense]])</f>
        <v/>
      </c>
      <c r="K33" s="3">
        <f>IF(K32&lt;($B$3+$B$4)*60,K32+Tableau146[[#This Row],[Durée_Corrigée]],K32)</f>
        <v>1125</v>
      </c>
      <c r="L33" s="3" t="str">
        <f t="shared" ref="L33:L64" si="15">IF(K32&gt;$C$3+$C$4,"",$B$8)</f>
        <v/>
      </c>
      <c r="M33" s="3" t="str">
        <f t="shared" ref="M33:M64" si="16">IF(K32&gt;$C$3+$C$4,"",$B$11)</f>
        <v/>
      </c>
    </row>
    <row r="34" spans="2:13" x14ac:dyDescent="0.25">
      <c r="B34" s="15"/>
      <c r="C34" s="3">
        <v>6</v>
      </c>
      <c r="D34" s="3" t="s">
        <v>7</v>
      </c>
      <c r="E34" s="3" t="str">
        <f>IF(K33&gt;$C$3+$C$4,"",Tableau146[[#This Row],[cumul_temps]]/60)</f>
        <v/>
      </c>
      <c r="F34" s="3" t="str">
        <f t="shared" ref="F34" si="17">IF(K33&gt;$C$3+$C$4,"",60*$B$14)</f>
        <v/>
      </c>
      <c r="H34" s="13"/>
      <c r="I34" s="13"/>
      <c r="J34" s="13"/>
      <c r="K34" s="3">
        <f>IF(K33&lt;($B$3+$B$4)*60,K33+Tableau146[[#This Row],[duree_standard]],K33)</f>
        <v>1125</v>
      </c>
      <c r="L34" s="3" t="str">
        <f t="shared" ref="L34:L65" si="18">IF(K33&gt;$C$3+$C$4,"",$B$7)</f>
        <v/>
      </c>
      <c r="M34" s="3" t="str">
        <f t="shared" ref="M34:M65" si="19">IF(K33&gt;$C$3+$C$4,"",$B$10)</f>
        <v/>
      </c>
    </row>
    <row r="35" spans="2:13" x14ac:dyDescent="0.25">
      <c r="B35" s="15"/>
      <c r="C35" s="3">
        <v>7</v>
      </c>
      <c r="D35" s="3" t="s">
        <v>27</v>
      </c>
      <c r="E35" s="3" t="str">
        <f>IF(K34&gt;$C$3+$C$4,"",Tableau146[[#This Row],[cumul_temps]]/60)</f>
        <v/>
      </c>
      <c r="F35" s="3" t="str">
        <f t="shared" ref="F35" si="20">IF(K34&gt;$C$3+$C$4,"",60*$B$13)</f>
        <v/>
      </c>
      <c r="G35" s="3" t="str">
        <f t="shared" ref="G35" si="21">IF(K34&gt;$C$3+$C$4,"",G33+1)</f>
        <v/>
      </c>
      <c r="H35" s="13" t="str">
        <f t="shared" ref="H35" si="22">IF(K34&gt;$C$3+$C$4,"",(K34-$G$26)/$C$4)</f>
        <v/>
      </c>
      <c r="I35" s="13" t="str">
        <f>IF(K34&gt;$C$3+$C$4,"",ROUND(IF(Tableau146[[#This Row],[Temps_Ref]]&gt;0,($F$13*Tableau146[[#This Row],[Temps_Ref]]^4+$G$13*Tableau146[[#This Row],[Temps_Ref]]^3+$H$13*Tableau146[[#This Row],[Temps_Ref]]^2+$I$13)/$J$13,0),1))</f>
        <v/>
      </c>
      <c r="J35" s="3" t="str">
        <f>IF(K34&gt;$C$3+$C$4,"",Tableau146[[#This Row],[duree_standard]]*Tableau146[[#This Row],[Correction_DuréeEffortIntense]])</f>
        <v/>
      </c>
      <c r="K35" s="3">
        <f>IF(K34&lt;($B$3+$B$4)*60,K34+Tableau146[[#This Row],[Durée_Corrigée]],K34)</f>
        <v>1125</v>
      </c>
      <c r="L35" s="3" t="str">
        <f t="shared" ref="L35:L66" si="23">IF(K34&gt;$C$3+$C$4,"",$B$8)</f>
        <v/>
      </c>
      <c r="M35" s="3" t="str">
        <f t="shared" ref="M35:M66" si="24">IF(K34&gt;$C$3+$C$4,"",$B$11)</f>
        <v/>
      </c>
    </row>
    <row r="36" spans="2:13" x14ac:dyDescent="0.25">
      <c r="B36" s="15"/>
      <c r="C36" s="3">
        <v>8</v>
      </c>
      <c r="D36" s="3" t="s">
        <v>7</v>
      </c>
      <c r="E36" s="3" t="str">
        <f>IF(K35&gt;$C$3+$C$4,"",Tableau146[[#This Row],[cumul_temps]]/60)</f>
        <v/>
      </c>
      <c r="F36" s="3" t="str">
        <f t="shared" ref="F36" si="25">IF(K35&gt;$C$3+$C$4,"",60*$B$14)</f>
        <v/>
      </c>
      <c r="H36" s="13"/>
      <c r="I36" s="13"/>
      <c r="J36" s="13"/>
      <c r="K36" s="3">
        <f>IF(K35&lt;($B$3+$B$4)*60,K35+Tableau146[[#This Row],[duree_standard]],K35)</f>
        <v>1125</v>
      </c>
      <c r="L36" s="3" t="str">
        <f t="shared" ref="L36:L67" si="26">IF(K35&gt;$C$3+$C$4,"",$B$7)</f>
        <v/>
      </c>
      <c r="M36" s="3" t="str">
        <f t="shared" ref="M36:M67" si="27">IF(K35&gt;$C$3+$C$4,"",$B$10)</f>
        <v/>
      </c>
    </row>
    <row r="37" spans="2:13" x14ac:dyDescent="0.25">
      <c r="B37" s="15"/>
      <c r="C37" s="3">
        <v>9</v>
      </c>
      <c r="D37" s="3" t="s">
        <v>27</v>
      </c>
      <c r="E37" s="3" t="str">
        <f>IF(K36&gt;$C$3+$C$4,"",Tableau146[[#This Row],[cumul_temps]]/60)</f>
        <v/>
      </c>
      <c r="F37" s="3" t="str">
        <f t="shared" ref="F37" si="28">IF(K36&gt;$C$3+$C$4,"",60*$B$13)</f>
        <v/>
      </c>
      <c r="G37" s="3" t="str">
        <f t="shared" ref="G37" si="29">IF(K36&gt;$C$3+$C$4,"",G35+1)</f>
        <v/>
      </c>
      <c r="H37" s="13" t="str">
        <f t="shared" ref="H37" si="30">IF(K36&gt;$C$3+$C$4,"",(K36-$G$26)/$C$4)</f>
        <v/>
      </c>
      <c r="I37" s="13" t="str">
        <f>IF(K36&gt;$C$3+$C$4,"",ROUND(IF(Tableau146[[#This Row],[Temps_Ref]]&gt;0,($F$13*Tableau146[[#This Row],[Temps_Ref]]^4+$G$13*Tableau146[[#This Row],[Temps_Ref]]^3+$H$13*Tableau146[[#This Row],[Temps_Ref]]^2+$I$13)/$J$13,0),1))</f>
        <v/>
      </c>
      <c r="J37" s="3" t="str">
        <f>IF(K36&gt;$C$3+$C$4,"",Tableau146[[#This Row],[duree_standard]]*Tableau146[[#This Row],[Correction_DuréeEffortIntense]])</f>
        <v/>
      </c>
      <c r="K37" s="3">
        <f>IF(K36&lt;($B$3+$B$4)*60,K36+Tableau146[[#This Row],[Durée_Corrigée]],K36)</f>
        <v>1125</v>
      </c>
      <c r="L37" s="3" t="str">
        <f t="shared" ref="L37:L68" si="31">IF(K36&gt;$C$3+$C$4,"",$B$8)</f>
        <v/>
      </c>
      <c r="M37" s="3" t="str">
        <f t="shared" ref="M37:M68" si="32">IF(K36&gt;$C$3+$C$4,"",$B$11)</f>
        <v/>
      </c>
    </row>
    <row r="38" spans="2:13" x14ac:dyDescent="0.25">
      <c r="B38" s="15"/>
      <c r="C38" s="3">
        <v>10</v>
      </c>
      <c r="D38" s="3" t="s">
        <v>7</v>
      </c>
      <c r="E38" s="3" t="str">
        <f>IF(K37&gt;$C$3+$C$4,"",Tableau146[[#This Row],[cumul_temps]]/60)</f>
        <v/>
      </c>
      <c r="F38" s="3" t="str">
        <f t="shared" ref="F38" si="33">IF(K37&gt;$C$3+$C$4,"",60*$B$14)</f>
        <v/>
      </c>
      <c r="H38" s="13"/>
      <c r="I38" s="13"/>
      <c r="J38" s="13"/>
      <c r="K38" s="3">
        <f>IF(K37&lt;($B$3+$B$4)*60,K37+Tableau146[[#This Row],[duree_standard]],K37)</f>
        <v>1125</v>
      </c>
      <c r="L38" s="3" t="str">
        <f t="shared" ref="L38:L69" si="34">IF(K37&gt;$C$3+$C$4,"",$B$7)</f>
        <v/>
      </c>
      <c r="M38" s="3" t="str">
        <f t="shared" ref="M38:M69" si="35">IF(K37&gt;$C$3+$C$4,"",$B$10)</f>
        <v/>
      </c>
    </row>
    <row r="39" spans="2:13" x14ac:dyDescent="0.25">
      <c r="B39" s="15"/>
      <c r="C39" s="3">
        <v>11</v>
      </c>
      <c r="D39" s="3" t="s">
        <v>27</v>
      </c>
      <c r="E39" s="3" t="str">
        <f>IF(K38&gt;$C$3+$C$4,"",Tableau146[[#This Row],[cumul_temps]]/60)</f>
        <v/>
      </c>
      <c r="F39" s="3" t="str">
        <f t="shared" ref="F39" si="36">IF(K38&gt;$C$3+$C$4,"",60*$B$13)</f>
        <v/>
      </c>
      <c r="G39" s="3" t="str">
        <f t="shared" ref="G39" si="37">IF(K38&gt;$C$3+$C$4,"",G37+1)</f>
        <v/>
      </c>
      <c r="H39" s="13" t="str">
        <f t="shared" ref="H39" si="38">IF(K38&gt;$C$3+$C$4,"",(K38-$G$26)/$C$4)</f>
        <v/>
      </c>
      <c r="I39" s="13" t="str">
        <f>IF(K38&gt;$C$3+$C$4,"",ROUND(IF(Tableau146[[#This Row],[Temps_Ref]]&gt;0,($F$13*Tableau146[[#This Row],[Temps_Ref]]^4+$G$13*Tableau146[[#This Row],[Temps_Ref]]^3+$H$13*Tableau146[[#This Row],[Temps_Ref]]^2+$I$13)/$J$13,0),1))</f>
        <v/>
      </c>
      <c r="J39" s="3" t="str">
        <f>IF(K38&gt;$C$3+$C$4,"",Tableau146[[#This Row],[duree_standard]]*Tableau146[[#This Row],[Correction_DuréeEffortIntense]])</f>
        <v/>
      </c>
      <c r="K39" s="3">
        <f>IF(K38&lt;($B$3+$B$4)*60,K38+Tableau146[[#This Row],[Durée_Corrigée]],K38)</f>
        <v>1125</v>
      </c>
      <c r="L39" s="3" t="str">
        <f t="shared" ref="L39:L70" si="39">IF(K38&gt;$C$3+$C$4,"",$B$8)</f>
        <v/>
      </c>
      <c r="M39" s="3" t="str">
        <f t="shared" ref="M39:M70" si="40">IF(K38&gt;$C$3+$C$4,"",$B$11)</f>
        <v/>
      </c>
    </row>
    <row r="40" spans="2:13" x14ac:dyDescent="0.25">
      <c r="B40" s="15"/>
      <c r="C40" s="3">
        <v>12</v>
      </c>
      <c r="D40" s="3" t="s">
        <v>7</v>
      </c>
      <c r="E40" s="3" t="str">
        <f>IF(K39&gt;$C$3+$C$4,"",Tableau146[[#This Row],[cumul_temps]]/60)</f>
        <v/>
      </c>
      <c r="F40" s="3" t="str">
        <f t="shared" ref="F40" si="41">IF(K39&gt;$C$3+$C$4,"",60*$B$14)</f>
        <v/>
      </c>
      <c r="H40" s="13"/>
      <c r="I40" s="13"/>
      <c r="J40" s="13"/>
      <c r="K40" s="3">
        <f>IF(K39&lt;($B$3+$B$4)*60,K39+Tableau146[[#This Row],[duree_standard]],K39)</f>
        <v>1125</v>
      </c>
      <c r="L40" s="3" t="str">
        <f t="shared" ref="L40:L71" si="42">IF(K39&gt;$C$3+$C$4,"",$B$7)</f>
        <v/>
      </c>
      <c r="M40" s="3" t="str">
        <f t="shared" ref="M40:M71" si="43">IF(K39&gt;$C$3+$C$4,"",$B$10)</f>
        <v/>
      </c>
    </row>
    <row r="41" spans="2:13" x14ac:dyDescent="0.25">
      <c r="B41" s="15"/>
      <c r="C41" s="3">
        <v>13</v>
      </c>
      <c r="D41" s="3" t="s">
        <v>27</v>
      </c>
      <c r="E41" s="3" t="str">
        <f>IF(K40&gt;$C$3+$C$4,"",Tableau146[[#This Row],[cumul_temps]]/60)</f>
        <v/>
      </c>
      <c r="F41" s="3" t="str">
        <f t="shared" ref="F41" si="44">IF(K40&gt;$C$3+$C$4,"",60*$B$13)</f>
        <v/>
      </c>
      <c r="G41" s="3" t="str">
        <f t="shared" ref="G41" si="45">IF(K40&gt;$C$3+$C$4,"",G39+1)</f>
        <v/>
      </c>
      <c r="H41" s="13" t="str">
        <f t="shared" ref="H41" si="46">IF(K40&gt;$C$3+$C$4,"",(K40-$G$26)/$C$4)</f>
        <v/>
      </c>
      <c r="I41" s="13" t="str">
        <f>IF(K40&gt;$C$3+$C$4,"",ROUND(IF(Tableau146[[#This Row],[Temps_Ref]]&gt;0,($F$13*Tableau146[[#This Row],[Temps_Ref]]^4+$G$13*Tableau146[[#This Row],[Temps_Ref]]^3+$H$13*Tableau146[[#This Row],[Temps_Ref]]^2+$I$13)/$J$13,0),1))</f>
        <v/>
      </c>
      <c r="J41" s="3" t="str">
        <f>IF(K40&gt;$C$3+$C$4,"",Tableau146[[#This Row],[duree_standard]]*Tableau146[[#This Row],[Correction_DuréeEffortIntense]])</f>
        <v/>
      </c>
      <c r="K41" s="3">
        <f>IF(K40&lt;($B$3+$B$4)*60,K40+Tableau146[[#This Row],[Durée_Corrigée]],K40)</f>
        <v>1125</v>
      </c>
      <c r="L41" s="3" t="str">
        <f t="shared" ref="L41:L72" si="47">IF(K40&gt;$C$3+$C$4,"",$B$8)</f>
        <v/>
      </c>
      <c r="M41" s="3" t="str">
        <f t="shared" ref="M41:M72" si="48">IF(K40&gt;$C$3+$C$4,"",$B$11)</f>
        <v/>
      </c>
    </row>
    <row r="42" spans="2:13" x14ac:dyDescent="0.25">
      <c r="B42" s="15"/>
      <c r="C42" s="3">
        <v>14</v>
      </c>
      <c r="D42" s="3" t="s">
        <v>7</v>
      </c>
      <c r="E42" s="3" t="str">
        <f>IF(K41&gt;$C$3+$C$4,"",Tableau146[[#This Row],[cumul_temps]]/60)</f>
        <v/>
      </c>
      <c r="F42" s="3" t="str">
        <f t="shared" ref="F42" si="49">IF(K41&gt;$C$3+$C$4,"",60*$B$14)</f>
        <v/>
      </c>
      <c r="H42" s="13"/>
      <c r="I42" s="13"/>
      <c r="J42" s="13"/>
      <c r="K42" s="3">
        <f>IF(K41&lt;($B$3+$B$4)*60,K41+Tableau146[[#This Row],[duree_standard]],K41)</f>
        <v>1125</v>
      </c>
      <c r="L42" s="3" t="str">
        <f t="shared" ref="L42:L73" si="50">IF(K41&gt;$C$3+$C$4,"",$B$7)</f>
        <v/>
      </c>
      <c r="M42" s="3" t="str">
        <f t="shared" ref="M42:M73" si="51">IF(K41&gt;$C$3+$C$4,"",$B$10)</f>
        <v/>
      </c>
    </row>
    <row r="43" spans="2:13" x14ac:dyDescent="0.25">
      <c r="B43" s="15"/>
      <c r="C43" s="3">
        <v>15</v>
      </c>
      <c r="D43" s="3" t="s">
        <v>27</v>
      </c>
      <c r="E43" s="3" t="str">
        <f>IF(K42&gt;$C$3+$C$4,"",Tableau146[[#This Row],[cumul_temps]]/60)</f>
        <v/>
      </c>
      <c r="F43" s="3" t="str">
        <f t="shared" ref="F43" si="52">IF(K42&gt;$C$3+$C$4,"",60*$B$13)</f>
        <v/>
      </c>
      <c r="G43" s="3" t="str">
        <f t="shared" ref="G43" si="53">IF(K42&gt;$C$3+$C$4,"",G41+1)</f>
        <v/>
      </c>
      <c r="H43" s="13" t="str">
        <f t="shared" ref="H43" si="54">IF(K42&gt;$C$3+$C$4,"",(K42-$G$26)/$C$4)</f>
        <v/>
      </c>
      <c r="I43" s="13" t="str">
        <f>IF(K42&gt;$C$3+$C$4,"",ROUND(IF(Tableau146[[#This Row],[Temps_Ref]]&gt;0,($F$13*Tableau146[[#This Row],[Temps_Ref]]^4+$G$13*Tableau146[[#This Row],[Temps_Ref]]^3+$H$13*Tableau146[[#This Row],[Temps_Ref]]^2+$I$13)/$J$13,0),1))</f>
        <v/>
      </c>
      <c r="J43" s="3" t="str">
        <f>IF(K42&gt;$C$3+$C$4,"",Tableau146[[#This Row],[duree_standard]]*Tableau146[[#This Row],[Correction_DuréeEffortIntense]])</f>
        <v/>
      </c>
      <c r="K43" s="3">
        <f>IF(K42&lt;($B$3+$B$4)*60,K42+Tableau146[[#This Row],[Durée_Corrigée]],K42)</f>
        <v>1125</v>
      </c>
      <c r="L43" s="3" t="str">
        <f t="shared" ref="L43:L74" si="55">IF(K42&gt;$C$3+$C$4,"",$B$8)</f>
        <v/>
      </c>
      <c r="M43" s="3" t="str">
        <f t="shared" ref="M43:M74" si="56">IF(K42&gt;$C$3+$C$4,"",$B$11)</f>
        <v/>
      </c>
    </row>
    <row r="44" spans="2:13" x14ac:dyDescent="0.25">
      <c r="B44" s="15"/>
      <c r="C44" s="3">
        <v>16</v>
      </c>
      <c r="D44" s="3" t="s">
        <v>7</v>
      </c>
      <c r="E44" s="3" t="str">
        <f>IF(K43&gt;$C$3+$C$4,"",Tableau146[[#This Row],[cumul_temps]]/60)</f>
        <v/>
      </c>
      <c r="F44" s="3" t="str">
        <f t="shared" ref="F44" si="57">IF(K43&gt;$C$3+$C$4,"",60*$B$14)</f>
        <v/>
      </c>
      <c r="H44" s="13"/>
      <c r="I44" s="13"/>
      <c r="J44" s="13"/>
      <c r="K44" s="3">
        <f>IF(K43&lt;($B$3+$B$4)*60,K43+Tableau146[[#This Row],[duree_standard]],K43)</f>
        <v>1125</v>
      </c>
      <c r="L44" s="3" t="str">
        <f t="shared" ref="L44:L75" si="58">IF(K43&gt;$C$3+$C$4,"",$B$7)</f>
        <v/>
      </c>
      <c r="M44" s="3" t="str">
        <f t="shared" ref="M44:M75" si="59">IF(K43&gt;$C$3+$C$4,"",$B$10)</f>
        <v/>
      </c>
    </row>
    <row r="45" spans="2:13" x14ac:dyDescent="0.25">
      <c r="B45" s="15"/>
      <c r="C45" s="3">
        <v>17</v>
      </c>
      <c r="D45" s="3" t="s">
        <v>27</v>
      </c>
      <c r="E45" s="3" t="str">
        <f>IF(K44&gt;$C$3+$C$4,"",Tableau146[[#This Row],[cumul_temps]]/60)</f>
        <v/>
      </c>
      <c r="F45" s="3" t="str">
        <f t="shared" ref="F45" si="60">IF(K44&gt;$C$3+$C$4,"",60*$B$13)</f>
        <v/>
      </c>
      <c r="G45" s="3" t="str">
        <f t="shared" ref="G45" si="61">IF(K44&gt;$C$3+$C$4,"",G43+1)</f>
        <v/>
      </c>
      <c r="H45" s="13" t="str">
        <f t="shared" ref="H45" si="62">IF(K44&gt;$C$3+$C$4,"",(K44-$G$26)/$C$4)</f>
        <v/>
      </c>
      <c r="I45" s="13" t="str">
        <f>IF(K44&gt;$C$3+$C$4,"",ROUND(IF(Tableau146[[#This Row],[Temps_Ref]]&gt;0,($F$13*Tableau146[[#This Row],[Temps_Ref]]^4+$G$13*Tableau146[[#This Row],[Temps_Ref]]^3+$H$13*Tableau146[[#This Row],[Temps_Ref]]^2+$I$13)/$J$13,0),1))</f>
        <v/>
      </c>
      <c r="J45" s="3" t="str">
        <f>IF(K44&gt;$C$3+$C$4,"",Tableau146[[#This Row],[duree_standard]]*Tableau146[[#This Row],[Correction_DuréeEffortIntense]])</f>
        <v/>
      </c>
      <c r="K45" s="3">
        <f>IF(K44&lt;($B$3+$B$4)*60,K44+Tableau146[[#This Row],[Durée_Corrigée]],K44)</f>
        <v>1125</v>
      </c>
      <c r="L45" s="3" t="str">
        <f t="shared" ref="L45:L76" si="63">IF(K44&gt;$C$3+$C$4,"",$B$8)</f>
        <v/>
      </c>
      <c r="M45" s="3" t="str">
        <f t="shared" ref="M45:M76" si="64">IF(K44&gt;$C$3+$C$4,"",$B$11)</f>
        <v/>
      </c>
    </row>
    <row r="46" spans="2:13" x14ac:dyDescent="0.25">
      <c r="B46" s="15"/>
      <c r="C46" s="3">
        <v>18</v>
      </c>
      <c r="D46" s="3" t="s">
        <v>7</v>
      </c>
      <c r="E46" s="3" t="str">
        <f>IF(K45&gt;$C$3+$C$4,"",Tableau146[[#This Row],[cumul_temps]]/60)</f>
        <v/>
      </c>
      <c r="F46" s="3" t="str">
        <f t="shared" ref="F46" si="65">IF(K45&gt;$C$3+$C$4,"",60*$B$14)</f>
        <v/>
      </c>
      <c r="H46" s="13"/>
      <c r="I46" s="13"/>
      <c r="J46" s="13"/>
      <c r="K46" s="3">
        <f>IF(K45&lt;($B$3+$B$4)*60,K45+Tableau146[[#This Row],[duree_standard]],K45)</f>
        <v>1125</v>
      </c>
      <c r="L46" s="3" t="str">
        <f t="shared" ref="L46:L77" si="66">IF(K45&gt;$C$3+$C$4,"",$B$7)</f>
        <v/>
      </c>
      <c r="M46" s="3" t="str">
        <f t="shared" ref="M46:M77" si="67">IF(K45&gt;$C$3+$C$4,"",$B$10)</f>
        <v/>
      </c>
    </row>
    <row r="47" spans="2:13" x14ac:dyDescent="0.25">
      <c r="B47" s="15"/>
      <c r="C47" s="3">
        <v>19</v>
      </c>
      <c r="D47" s="3" t="s">
        <v>27</v>
      </c>
      <c r="E47" s="3" t="str">
        <f>IF(K46&gt;$C$3+$C$4,"",Tableau146[[#This Row],[cumul_temps]]/60)</f>
        <v/>
      </c>
      <c r="F47" s="3" t="str">
        <f t="shared" ref="F47" si="68">IF(K46&gt;$C$3+$C$4,"",60*$B$13)</f>
        <v/>
      </c>
      <c r="G47" s="3" t="str">
        <f t="shared" ref="G47" si="69">IF(K46&gt;$C$3+$C$4,"",G45+1)</f>
        <v/>
      </c>
      <c r="H47" s="13" t="str">
        <f t="shared" ref="H47" si="70">IF(K46&gt;$C$3+$C$4,"",(K46-$G$26)/$C$4)</f>
        <v/>
      </c>
      <c r="I47" s="13" t="str">
        <f>IF(K46&gt;$C$3+$C$4,"",ROUND(IF(Tableau146[[#This Row],[Temps_Ref]]&gt;0,($F$13*Tableau146[[#This Row],[Temps_Ref]]^4+$G$13*Tableau146[[#This Row],[Temps_Ref]]^3+$H$13*Tableau146[[#This Row],[Temps_Ref]]^2+$I$13)/$J$13,0),1))</f>
        <v/>
      </c>
      <c r="J47" s="3" t="str">
        <f>IF(K46&gt;$C$3+$C$4,"",Tableau146[[#This Row],[duree_standard]]*Tableau146[[#This Row],[Correction_DuréeEffortIntense]])</f>
        <v/>
      </c>
      <c r="K47" s="3">
        <f>IF(K46&lt;($B$3+$B$4)*60,K46+Tableau146[[#This Row],[Durée_Corrigée]],K46)</f>
        <v>1125</v>
      </c>
      <c r="L47" s="3" t="str">
        <f t="shared" ref="L47:L78" si="71">IF(K46&gt;$C$3+$C$4,"",$B$8)</f>
        <v/>
      </c>
      <c r="M47" s="3" t="str">
        <f t="shared" ref="M47:M78" si="72">IF(K46&gt;$C$3+$C$4,"",$B$11)</f>
        <v/>
      </c>
    </row>
    <row r="48" spans="2:13" x14ac:dyDescent="0.25">
      <c r="B48" s="15"/>
      <c r="C48" s="3">
        <v>20</v>
      </c>
      <c r="D48" s="3" t="s">
        <v>7</v>
      </c>
      <c r="E48" s="3" t="str">
        <f>IF(K47&gt;$C$3+$C$4,"",Tableau146[[#This Row],[cumul_temps]]/60)</f>
        <v/>
      </c>
      <c r="F48" s="3" t="str">
        <f t="shared" ref="F48" si="73">IF(K47&gt;$C$3+$C$4,"",60*$B$14)</f>
        <v/>
      </c>
      <c r="H48" s="13"/>
      <c r="I48" s="13"/>
      <c r="J48" s="13"/>
      <c r="K48" s="3">
        <f>IF(K47&lt;($B$3+$B$4)*60,K47+Tableau146[[#This Row],[duree_standard]],K47)</f>
        <v>1125</v>
      </c>
      <c r="L48" s="3" t="str">
        <f t="shared" ref="L48:L79" si="74">IF(K47&gt;$C$3+$C$4,"",$B$7)</f>
        <v/>
      </c>
      <c r="M48" s="3" t="str">
        <f t="shared" ref="M48:M79" si="75">IF(K47&gt;$C$3+$C$4,"",$B$10)</f>
        <v/>
      </c>
    </row>
    <row r="49" spans="2:13" x14ac:dyDescent="0.25">
      <c r="B49" s="15"/>
      <c r="C49" s="3">
        <v>21</v>
      </c>
      <c r="D49" s="3" t="s">
        <v>27</v>
      </c>
      <c r="E49" s="3" t="str">
        <f>IF(K48&gt;$C$3+$C$4,"",Tableau146[[#This Row],[cumul_temps]]/60)</f>
        <v/>
      </c>
      <c r="F49" s="3" t="str">
        <f t="shared" ref="F49" si="76">IF(K48&gt;$C$3+$C$4,"",60*$B$13)</f>
        <v/>
      </c>
      <c r="G49" s="3" t="str">
        <f t="shared" ref="G49" si="77">IF(K48&gt;$C$3+$C$4,"",G47+1)</f>
        <v/>
      </c>
      <c r="H49" s="13" t="str">
        <f t="shared" ref="H49" si="78">IF(K48&gt;$C$3+$C$4,"",(K48-$G$26)/$C$4)</f>
        <v/>
      </c>
      <c r="I49" s="13" t="str">
        <f>IF(K48&gt;$C$3+$C$4,"",ROUND(IF(Tableau146[[#This Row],[Temps_Ref]]&gt;0,($F$13*Tableau146[[#This Row],[Temps_Ref]]^4+$G$13*Tableau146[[#This Row],[Temps_Ref]]^3+$H$13*Tableau146[[#This Row],[Temps_Ref]]^2+$I$13)/$J$13,0),1))</f>
        <v/>
      </c>
      <c r="J49" s="3" t="str">
        <f>IF(K48&gt;$C$3+$C$4,"",Tableau146[[#This Row],[duree_standard]]*Tableau146[[#This Row],[Correction_DuréeEffortIntense]])</f>
        <v/>
      </c>
      <c r="K49" s="3">
        <f>IF(K48&lt;($B$3+$B$4)*60,K48+Tableau146[[#This Row],[Durée_Corrigée]],K48)</f>
        <v>1125</v>
      </c>
      <c r="L49" s="3" t="str">
        <f t="shared" ref="L49:L96" si="79">IF(K48&gt;$C$3+$C$4,"",$B$8)</f>
        <v/>
      </c>
      <c r="M49" s="3" t="str">
        <f t="shared" ref="M49:M96" si="80">IF(K48&gt;$C$3+$C$4,"",$B$11)</f>
        <v/>
      </c>
    </row>
    <row r="50" spans="2:13" x14ac:dyDescent="0.25">
      <c r="B50" s="15"/>
      <c r="C50" s="3">
        <v>22</v>
      </c>
      <c r="D50" s="3" t="s">
        <v>7</v>
      </c>
      <c r="E50" s="3" t="str">
        <f>IF(K49&gt;$C$3+$C$4,"",Tableau146[[#This Row],[cumul_temps]]/60)</f>
        <v/>
      </c>
      <c r="F50" s="3" t="str">
        <f t="shared" ref="F50" si="81">IF(K49&gt;$C$3+$C$4,"",60*$B$14)</f>
        <v/>
      </c>
      <c r="H50" s="13"/>
      <c r="I50" s="13"/>
      <c r="J50" s="13"/>
      <c r="K50" s="3">
        <f>IF(K49&lt;($B$3+$B$4)*60,K49+Tableau146[[#This Row],[duree_standard]],K49)</f>
        <v>1125</v>
      </c>
      <c r="L50" s="3" t="str">
        <f t="shared" ref="L50:L96" si="82">IF(K49&gt;$C$3+$C$4,"",$B$7)</f>
        <v/>
      </c>
      <c r="M50" s="3" t="str">
        <f t="shared" ref="M50:M96" si="83">IF(K49&gt;$C$3+$C$4,"",$B$10)</f>
        <v/>
      </c>
    </row>
    <row r="51" spans="2:13" x14ac:dyDescent="0.25">
      <c r="B51" s="15"/>
      <c r="C51" s="3">
        <v>23</v>
      </c>
      <c r="D51" s="3" t="s">
        <v>27</v>
      </c>
      <c r="E51" s="3" t="str">
        <f>IF(K50&gt;$C$3+$C$4,"",Tableau146[[#This Row],[cumul_temps]]/60)</f>
        <v/>
      </c>
      <c r="F51" s="3" t="str">
        <f t="shared" ref="F51" si="84">IF(K50&gt;$C$3+$C$4,"",60*$B$13)</f>
        <v/>
      </c>
      <c r="G51" s="3" t="str">
        <f t="shared" ref="G51" si="85">IF(K50&gt;$C$3+$C$4,"",G49+1)</f>
        <v/>
      </c>
      <c r="H51" s="13" t="str">
        <f t="shared" ref="H51" si="86">IF(K50&gt;$C$3+$C$4,"",(K50-$G$26)/$C$4)</f>
        <v/>
      </c>
      <c r="I51" s="13" t="str">
        <f>IF(K50&gt;$C$3+$C$4,"",ROUND(IF(Tableau146[[#This Row],[Temps_Ref]]&gt;0,($F$13*Tableau146[[#This Row],[Temps_Ref]]^4+$G$13*Tableau146[[#This Row],[Temps_Ref]]^3+$H$13*Tableau146[[#This Row],[Temps_Ref]]^2+$I$13)/$J$13,0),1))</f>
        <v/>
      </c>
      <c r="J51" s="3" t="str">
        <f>IF(K50&gt;$C$3+$C$4,"",Tableau146[[#This Row],[duree_standard]]*Tableau146[[#This Row],[Correction_DuréeEffortIntense]])</f>
        <v/>
      </c>
      <c r="K51" s="3">
        <f>IF(K50&lt;($B$3+$B$4)*60,K50+Tableau146[[#This Row],[Durée_Corrigée]],K50)</f>
        <v>1125</v>
      </c>
      <c r="L51" s="3" t="str">
        <f t="shared" ref="L51:L96" si="87">IF(K50&gt;$C$3+$C$4,"",$B$8)</f>
        <v/>
      </c>
      <c r="M51" s="3" t="str">
        <f t="shared" ref="M51:M96" si="88">IF(K50&gt;$C$3+$C$4,"",$B$11)</f>
        <v/>
      </c>
    </row>
    <row r="52" spans="2:13" x14ac:dyDescent="0.25">
      <c r="B52" s="15"/>
      <c r="C52" s="3">
        <v>24</v>
      </c>
      <c r="D52" s="3" t="s">
        <v>7</v>
      </c>
      <c r="E52" s="3" t="str">
        <f>IF(K51&gt;$C$3+$C$4,"",Tableau146[[#This Row],[cumul_temps]]/60)</f>
        <v/>
      </c>
      <c r="F52" s="3" t="str">
        <f t="shared" ref="F52" si="89">IF(K51&gt;$C$3+$C$4,"",60*$B$14)</f>
        <v/>
      </c>
      <c r="H52" s="13"/>
      <c r="I52" s="13"/>
      <c r="J52" s="13"/>
      <c r="K52" s="3">
        <f>IF(K51&lt;($B$3+$B$4)*60,K51+Tableau146[[#This Row],[duree_standard]],K51)</f>
        <v>1125</v>
      </c>
      <c r="L52" s="3" t="str">
        <f t="shared" ref="L52:L96" si="90">IF(K51&gt;$C$3+$C$4,"",$B$7)</f>
        <v/>
      </c>
      <c r="M52" s="3" t="str">
        <f t="shared" ref="M52:M96" si="91">IF(K51&gt;$C$3+$C$4,"",$B$10)</f>
        <v/>
      </c>
    </row>
    <row r="53" spans="2:13" x14ac:dyDescent="0.25">
      <c r="B53" s="15"/>
      <c r="C53" s="3">
        <v>25</v>
      </c>
      <c r="D53" s="3" t="s">
        <v>27</v>
      </c>
      <c r="E53" s="3" t="str">
        <f>IF(K52&gt;$C$3+$C$4,"",Tableau146[[#This Row],[cumul_temps]]/60)</f>
        <v/>
      </c>
      <c r="F53" s="3" t="str">
        <f t="shared" ref="F53" si="92">IF(K52&gt;$C$3+$C$4,"",60*$B$13)</f>
        <v/>
      </c>
      <c r="G53" s="3" t="str">
        <f t="shared" ref="G53" si="93">IF(K52&gt;$C$3+$C$4,"",G51+1)</f>
        <v/>
      </c>
      <c r="H53" s="13" t="str">
        <f t="shared" ref="H53" si="94">IF(K52&gt;$C$3+$C$4,"",(K52-$G$26)/$C$4)</f>
        <v/>
      </c>
      <c r="I53" s="13" t="str">
        <f>IF(K52&gt;$C$3+$C$4,"",ROUND(IF(Tableau146[[#This Row],[Temps_Ref]]&gt;0,($F$13*Tableau146[[#This Row],[Temps_Ref]]^4+$G$13*Tableau146[[#This Row],[Temps_Ref]]^3+$H$13*Tableau146[[#This Row],[Temps_Ref]]^2+$I$13)/$J$13,0),1))</f>
        <v/>
      </c>
      <c r="J53" s="3" t="str">
        <f>IF(K52&gt;$C$3+$C$4,"",Tableau146[[#This Row],[duree_standard]]*Tableau146[[#This Row],[Correction_DuréeEffortIntense]])</f>
        <v/>
      </c>
      <c r="K53" s="3">
        <f>IF(K52&lt;($B$3+$B$4)*60,K52+Tableau146[[#This Row],[Durée_Corrigée]],K52)</f>
        <v>1125</v>
      </c>
      <c r="L53" s="3" t="str">
        <f t="shared" ref="L53:L96" si="95">IF(K52&gt;$C$3+$C$4,"",$B$8)</f>
        <v/>
      </c>
      <c r="M53" s="3" t="str">
        <f t="shared" ref="M53:M96" si="96">IF(K52&gt;$C$3+$C$4,"",$B$11)</f>
        <v/>
      </c>
    </row>
    <row r="54" spans="2:13" x14ac:dyDescent="0.25">
      <c r="B54" s="15"/>
      <c r="C54" s="3">
        <v>26</v>
      </c>
      <c r="D54" s="3" t="s">
        <v>7</v>
      </c>
      <c r="E54" s="3" t="str">
        <f>IF(K53&gt;$C$3+$C$4,"",Tableau146[[#This Row],[cumul_temps]]/60)</f>
        <v/>
      </c>
      <c r="F54" s="3" t="str">
        <f t="shared" ref="F54" si="97">IF(K53&gt;$C$3+$C$4,"",60*$B$14)</f>
        <v/>
      </c>
      <c r="H54" s="13"/>
      <c r="I54" s="13"/>
      <c r="J54" s="13"/>
      <c r="K54" s="3">
        <f>IF(K53&lt;($B$3+$B$4)*60,K53+Tableau146[[#This Row],[duree_standard]],K53)</f>
        <v>1125</v>
      </c>
      <c r="L54" s="3" t="str">
        <f t="shared" ref="L54:L96" si="98">IF(K53&gt;$C$3+$C$4,"",$B$7)</f>
        <v/>
      </c>
      <c r="M54" s="3" t="str">
        <f t="shared" ref="M54:M96" si="99">IF(K53&gt;$C$3+$C$4,"",$B$10)</f>
        <v/>
      </c>
    </row>
    <row r="55" spans="2:13" x14ac:dyDescent="0.25">
      <c r="B55" s="15"/>
      <c r="C55" s="3">
        <v>27</v>
      </c>
      <c r="D55" s="3" t="s">
        <v>27</v>
      </c>
      <c r="E55" s="3" t="str">
        <f>IF(K54&gt;$C$3+$C$4,"",Tableau146[[#This Row],[cumul_temps]]/60)</f>
        <v/>
      </c>
      <c r="F55" s="3" t="str">
        <f t="shared" ref="F55" si="100">IF(K54&gt;$C$3+$C$4,"",60*$B$13)</f>
        <v/>
      </c>
      <c r="G55" s="3" t="str">
        <f t="shared" ref="G55" si="101">IF(K54&gt;$C$3+$C$4,"",G53+1)</f>
        <v/>
      </c>
      <c r="H55" s="13" t="str">
        <f t="shared" ref="H55" si="102">IF(K54&gt;$C$3+$C$4,"",(K54-$G$26)/$C$4)</f>
        <v/>
      </c>
      <c r="I55" s="13" t="str">
        <f>IF(K54&gt;$C$3+$C$4,"",ROUND(IF(Tableau146[[#This Row],[Temps_Ref]]&gt;0,($F$13*Tableau146[[#This Row],[Temps_Ref]]^4+$G$13*Tableau146[[#This Row],[Temps_Ref]]^3+$H$13*Tableau146[[#This Row],[Temps_Ref]]^2+$I$13)/$J$13,0),1))</f>
        <v/>
      </c>
      <c r="J55" s="3" t="str">
        <f>IF(K54&gt;$C$3+$C$4,"",Tableau146[[#This Row],[duree_standard]]*Tableau146[[#This Row],[Correction_DuréeEffortIntense]])</f>
        <v/>
      </c>
      <c r="K55" s="3">
        <f>IF(K54&lt;($B$3+$B$4)*60,K54+Tableau146[[#This Row],[Durée_Corrigée]],K54)</f>
        <v>1125</v>
      </c>
      <c r="L55" s="3" t="str">
        <f t="shared" ref="L55:L96" si="103">IF(K54&gt;$C$3+$C$4,"",$B$8)</f>
        <v/>
      </c>
      <c r="M55" s="3" t="str">
        <f t="shared" ref="M55:M96" si="104">IF(K54&gt;$C$3+$C$4,"",$B$11)</f>
        <v/>
      </c>
    </row>
    <row r="56" spans="2:13" x14ac:dyDescent="0.25">
      <c r="B56" s="15"/>
      <c r="C56" s="3">
        <v>28</v>
      </c>
      <c r="D56" s="3" t="s">
        <v>7</v>
      </c>
      <c r="E56" s="3" t="str">
        <f>IF(K55&gt;$C$3+$C$4,"",Tableau146[[#This Row],[cumul_temps]]/60)</f>
        <v/>
      </c>
      <c r="F56" s="3" t="str">
        <f t="shared" ref="F56" si="105">IF(K55&gt;$C$3+$C$4,"",60*$B$14)</f>
        <v/>
      </c>
      <c r="H56" s="13"/>
      <c r="I56" s="13"/>
      <c r="J56" s="13"/>
      <c r="K56" s="3">
        <f>IF(K55&lt;($B$3+$B$4)*60,K55+Tableau146[[#This Row],[duree_standard]],K55)</f>
        <v>1125</v>
      </c>
      <c r="L56" s="3" t="str">
        <f t="shared" ref="L56:L96" si="106">IF(K55&gt;$C$3+$C$4,"",$B$7)</f>
        <v/>
      </c>
      <c r="M56" s="3" t="str">
        <f t="shared" ref="M56:M96" si="107">IF(K55&gt;$C$3+$C$4,"",$B$10)</f>
        <v/>
      </c>
    </row>
    <row r="57" spans="2:13" x14ac:dyDescent="0.25">
      <c r="B57" s="15"/>
      <c r="C57" s="3">
        <v>29</v>
      </c>
      <c r="D57" s="3" t="s">
        <v>27</v>
      </c>
      <c r="E57" s="3" t="str">
        <f>IF(K56&gt;$C$3+$C$4,"",Tableau146[[#This Row],[cumul_temps]]/60)</f>
        <v/>
      </c>
      <c r="F57" s="3" t="str">
        <f t="shared" ref="F57" si="108">IF(K56&gt;$C$3+$C$4,"",60*$B$13)</f>
        <v/>
      </c>
      <c r="G57" s="3" t="str">
        <f t="shared" ref="G57" si="109">IF(K56&gt;$C$3+$C$4,"",G55+1)</f>
        <v/>
      </c>
      <c r="H57" s="13" t="str">
        <f t="shared" ref="H57" si="110">IF(K56&gt;$C$3+$C$4,"",(K56-$G$26)/$C$4)</f>
        <v/>
      </c>
      <c r="I57" s="13" t="str">
        <f>IF(K56&gt;$C$3+$C$4,"",ROUND(IF(Tableau146[[#This Row],[Temps_Ref]]&gt;0,($F$13*Tableau146[[#This Row],[Temps_Ref]]^4+$G$13*Tableau146[[#This Row],[Temps_Ref]]^3+$H$13*Tableau146[[#This Row],[Temps_Ref]]^2+$I$13)/$J$13,0),1))</f>
        <v/>
      </c>
      <c r="J57" s="3" t="str">
        <f>IF(K56&gt;$C$3+$C$4,"",Tableau146[[#This Row],[duree_standard]]*Tableau146[[#This Row],[Correction_DuréeEffortIntense]])</f>
        <v/>
      </c>
      <c r="K57" s="3">
        <f>IF(K56&lt;($B$3+$B$4)*60,K56+Tableau146[[#This Row],[Durée_Corrigée]],K56)</f>
        <v>1125</v>
      </c>
      <c r="L57" s="3" t="str">
        <f t="shared" ref="L57:L96" si="111">IF(K56&gt;$C$3+$C$4,"",$B$8)</f>
        <v/>
      </c>
      <c r="M57" s="3" t="str">
        <f t="shared" ref="M57:M96" si="112">IF(K56&gt;$C$3+$C$4,"",$B$11)</f>
        <v/>
      </c>
    </row>
    <row r="58" spans="2:13" x14ac:dyDescent="0.25">
      <c r="B58" s="15"/>
      <c r="C58" s="3">
        <v>30</v>
      </c>
      <c r="D58" s="3" t="s">
        <v>7</v>
      </c>
      <c r="E58" s="3" t="str">
        <f>IF(K57&gt;$C$3+$C$4,"",Tableau146[[#This Row],[cumul_temps]]/60)</f>
        <v/>
      </c>
      <c r="F58" s="3" t="str">
        <f t="shared" ref="F58" si="113">IF(K57&gt;$C$3+$C$4,"",60*$B$14)</f>
        <v/>
      </c>
      <c r="H58" s="13"/>
      <c r="I58" s="13"/>
      <c r="J58" s="13"/>
      <c r="K58" s="3">
        <f>IF(K57&lt;($B$3+$B$4)*60,K57+Tableau146[[#This Row],[duree_standard]],K57)</f>
        <v>1125</v>
      </c>
      <c r="L58" s="3" t="str">
        <f t="shared" ref="L58:L96" si="114">IF(K57&gt;$C$3+$C$4,"",$B$7)</f>
        <v/>
      </c>
      <c r="M58" s="3" t="str">
        <f t="shared" ref="M58:M96" si="115">IF(K57&gt;$C$3+$C$4,"",$B$10)</f>
        <v/>
      </c>
    </row>
    <row r="59" spans="2:13" x14ac:dyDescent="0.25">
      <c r="B59" s="15"/>
      <c r="C59" s="3">
        <v>31</v>
      </c>
      <c r="D59" s="3" t="s">
        <v>27</v>
      </c>
      <c r="E59" s="3" t="str">
        <f>IF(K58&gt;$C$3+$C$4,"",Tableau146[[#This Row],[cumul_temps]]/60)</f>
        <v/>
      </c>
      <c r="F59" s="3" t="str">
        <f t="shared" ref="F59" si="116">IF(K58&gt;$C$3+$C$4,"",60*$B$13)</f>
        <v/>
      </c>
      <c r="G59" s="3" t="str">
        <f t="shared" ref="G59" si="117">IF(K58&gt;$C$3+$C$4,"",G57+1)</f>
        <v/>
      </c>
      <c r="H59" s="13" t="str">
        <f t="shared" ref="H59" si="118">IF(K58&gt;$C$3+$C$4,"",(K58-$G$26)/$C$4)</f>
        <v/>
      </c>
      <c r="I59" s="13" t="str">
        <f>IF(K58&gt;$C$3+$C$4,"",ROUND(IF(Tableau146[[#This Row],[Temps_Ref]]&gt;0,($F$13*Tableau146[[#This Row],[Temps_Ref]]^4+$G$13*Tableau146[[#This Row],[Temps_Ref]]^3+$H$13*Tableau146[[#This Row],[Temps_Ref]]^2+$I$13)/$J$13,0),1))</f>
        <v/>
      </c>
      <c r="J59" s="3" t="str">
        <f>IF(K58&gt;$C$3+$C$4,"",Tableau146[[#This Row],[duree_standard]]*Tableau146[[#This Row],[Correction_DuréeEffortIntense]])</f>
        <v/>
      </c>
      <c r="K59" s="3">
        <f>IF(K58&lt;($B$3+$B$4)*60,K58+Tableau146[[#This Row],[Durée_Corrigée]],K58)</f>
        <v>1125</v>
      </c>
      <c r="L59" s="3" t="str">
        <f t="shared" ref="L59:L96" si="119">IF(K58&gt;$C$3+$C$4,"",$B$8)</f>
        <v/>
      </c>
      <c r="M59" s="3" t="str">
        <f t="shared" ref="M59:M96" si="120">IF(K58&gt;$C$3+$C$4,"",$B$11)</f>
        <v/>
      </c>
    </row>
    <row r="60" spans="2:13" x14ac:dyDescent="0.25">
      <c r="B60" s="15"/>
      <c r="C60" s="3">
        <v>32</v>
      </c>
      <c r="D60" s="3" t="s">
        <v>7</v>
      </c>
      <c r="E60" s="3" t="str">
        <f>IF(K59&gt;$C$3+$C$4,"",Tableau146[[#This Row],[cumul_temps]]/60)</f>
        <v/>
      </c>
      <c r="F60" s="3" t="str">
        <f t="shared" ref="F60" si="121">IF(K59&gt;$C$3+$C$4,"",60*$B$14)</f>
        <v/>
      </c>
      <c r="H60" s="13"/>
      <c r="I60" s="13"/>
      <c r="J60" s="13"/>
      <c r="K60" s="3">
        <f>IF(K59&lt;($B$3+$B$4)*60,K59+Tableau146[[#This Row],[duree_standard]],K59)</f>
        <v>1125</v>
      </c>
      <c r="L60" s="3" t="str">
        <f t="shared" ref="L60:L96" si="122">IF(K59&gt;$C$3+$C$4,"",$B$7)</f>
        <v/>
      </c>
      <c r="M60" s="3" t="str">
        <f t="shared" ref="M60:M96" si="123">IF(K59&gt;$C$3+$C$4,"",$B$10)</f>
        <v/>
      </c>
    </row>
    <row r="61" spans="2:13" x14ac:dyDescent="0.25">
      <c r="B61" s="15"/>
      <c r="C61" s="3">
        <v>33</v>
      </c>
      <c r="D61" s="3" t="s">
        <v>27</v>
      </c>
      <c r="E61" s="3" t="str">
        <f>IF(K60&gt;$C$3+$C$4,"",Tableau146[[#This Row],[cumul_temps]]/60)</f>
        <v/>
      </c>
      <c r="F61" s="3" t="str">
        <f t="shared" ref="F61" si="124">IF(K60&gt;$C$3+$C$4,"",60*$B$13)</f>
        <v/>
      </c>
      <c r="G61" s="3" t="str">
        <f t="shared" ref="G61" si="125">IF(K60&gt;$C$3+$C$4,"",G59+1)</f>
        <v/>
      </c>
      <c r="H61" s="13" t="str">
        <f t="shared" ref="H61" si="126">IF(K60&gt;$C$3+$C$4,"",(K60-$G$26)/$C$4)</f>
        <v/>
      </c>
      <c r="I61" s="13" t="str">
        <f>IF(K60&gt;$C$3+$C$4,"",ROUND(IF(Tableau146[[#This Row],[Temps_Ref]]&gt;0,($F$13*Tableau146[[#This Row],[Temps_Ref]]^4+$G$13*Tableau146[[#This Row],[Temps_Ref]]^3+$H$13*Tableau146[[#This Row],[Temps_Ref]]^2+$I$13)/$J$13,0),1))</f>
        <v/>
      </c>
      <c r="J61" s="3" t="str">
        <f>IF(K60&gt;$C$3+$C$4,"",Tableau146[[#This Row],[duree_standard]]*Tableau146[[#This Row],[Correction_DuréeEffortIntense]])</f>
        <v/>
      </c>
      <c r="K61" s="3">
        <f>IF(K60&lt;($B$3+$B$4)*60,K60+Tableau146[[#This Row],[Durée_Corrigée]],K60)</f>
        <v>1125</v>
      </c>
      <c r="L61" s="3" t="str">
        <f t="shared" ref="L61:L96" si="127">IF(K60&gt;$C$3+$C$4,"",$B$8)</f>
        <v/>
      </c>
      <c r="M61" s="3" t="str">
        <f t="shared" ref="M61:M96" si="128">IF(K60&gt;$C$3+$C$4,"",$B$11)</f>
        <v/>
      </c>
    </row>
    <row r="62" spans="2:13" x14ac:dyDescent="0.25">
      <c r="B62" s="15"/>
      <c r="C62" s="3">
        <v>34</v>
      </c>
      <c r="D62" s="3" t="s">
        <v>7</v>
      </c>
      <c r="E62" s="3" t="str">
        <f>IF(K61&gt;$C$3+$C$4,"",Tableau146[[#This Row],[cumul_temps]]/60)</f>
        <v/>
      </c>
      <c r="F62" s="3" t="str">
        <f t="shared" ref="F62" si="129">IF(K61&gt;$C$3+$C$4,"",60*$B$14)</f>
        <v/>
      </c>
      <c r="H62" s="13"/>
      <c r="I62" s="13"/>
      <c r="J62" s="13"/>
      <c r="K62" s="3">
        <f>IF(K61&lt;($B$3+$B$4)*60,K61+Tableau146[[#This Row],[duree_standard]],K61)</f>
        <v>1125</v>
      </c>
      <c r="L62" s="3" t="str">
        <f t="shared" ref="L62:L96" si="130">IF(K61&gt;$C$3+$C$4,"",$B$7)</f>
        <v/>
      </c>
      <c r="M62" s="3" t="str">
        <f t="shared" ref="M62:M96" si="131">IF(K61&gt;$C$3+$C$4,"",$B$10)</f>
        <v/>
      </c>
    </row>
    <row r="63" spans="2:13" x14ac:dyDescent="0.25">
      <c r="B63" s="15"/>
      <c r="C63" s="3">
        <v>35</v>
      </c>
      <c r="D63" s="3" t="s">
        <v>27</v>
      </c>
      <c r="E63" s="3" t="str">
        <f>IF(K62&gt;$C$3+$C$4,"",Tableau146[[#This Row],[cumul_temps]]/60)</f>
        <v/>
      </c>
      <c r="F63" s="3" t="str">
        <f t="shared" ref="F63" si="132">IF(K62&gt;$C$3+$C$4,"",60*$B$13)</f>
        <v/>
      </c>
      <c r="G63" s="3" t="str">
        <f t="shared" ref="G63" si="133">IF(K62&gt;$C$3+$C$4,"",G61+1)</f>
        <v/>
      </c>
      <c r="H63" s="13" t="str">
        <f t="shared" ref="H63" si="134">IF(K62&gt;$C$3+$C$4,"",(K62-$G$26)/$C$4)</f>
        <v/>
      </c>
      <c r="I63" s="13" t="str">
        <f>IF(K62&gt;$C$3+$C$4,"",ROUND(IF(Tableau146[[#This Row],[Temps_Ref]]&gt;0,($F$13*Tableau146[[#This Row],[Temps_Ref]]^4+$G$13*Tableau146[[#This Row],[Temps_Ref]]^3+$H$13*Tableau146[[#This Row],[Temps_Ref]]^2+$I$13)/$J$13,0),1))</f>
        <v/>
      </c>
      <c r="J63" s="3" t="str">
        <f>IF(K62&gt;$C$3+$C$4,"",Tableau146[[#This Row],[duree_standard]]*Tableau146[[#This Row],[Correction_DuréeEffortIntense]])</f>
        <v/>
      </c>
      <c r="K63" s="3">
        <f>IF(K62&lt;($B$3+$B$4)*60,K62+Tableau146[[#This Row],[Durée_Corrigée]],K62)</f>
        <v>1125</v>
      </c>
      <c r="L63" s="3" t="str">
        <f t="shared" ref="L63:L96" si="135">IF(K62&gt;$C$3+$C$4,"",$B$8)</f>
        <v/>
      </c>
      <c r="M63" s="3" t="str">
        <f t="shared" ref="M63:M96" si="136">IF(K62&gt;$C$3+$C$4,"",$B$11)</f>
        <v/>
      </c>
    </row>
    <row r="64" spans="2:13" x14ac:dyDescent="0.25">
      <c r="B64" s="15"/>
      <c r="C64" s="3">
        <v>36</v>
      </c>
      <c r="D64" s="3" t="s">
        <v>7</v>
      </c>
      <c r="E64" s="3" t="str">
        <f>IF(K63&gt;$C$3+$C$4,"",Tableau146[[#This Row],[cumul_temps]]/60)</f>
        <v/>
      </c>
      <c r="F64" s="3" t="str">
        <f t="shared" ref="F64" si="137">IF(K63&gt;$C$3+$C$4,"",60*$B$14)</f>
        <v/>
      </c>
      <c r="H64" s="13"/>
      <c r="I64" s="13"/>
      <c r="J64" s="13"/>
      <c r="K64" s="3">
        <f>IF(K63&lt;($B$3+$B$4)*60,K63+Tableau146[[#This Row],[duree_standard]],K63)</f>
        <v>1125</v>
      </c>
      <c r="L64" s="3" t="str">
        <f t="shared" ref="L64:L96" si="138">IF(K63&gt;$C$3+$C$4,"",$B$7)</f>
        <v/>
      </c>
      <c r="M64" s="3" t="str">
        <f t="shared" ref="M64:M96" si="139">IF(K63&gt;$C$3+$C$4,"",$B$10)</f>
        <v/>
      </c>
    </row>
    <row r="65" spans="2:13" x14ac:dyDescent="0.25">
      <c r="B65" s="15"/>
      <c r="C65" s="3">
        <v>37</v>
      </c>
      <c r="D65" s="3" t="s">
        <v>27</v>
      </c>
      <c r="E65" s="3" t="str">
        <f>IF(K64&gt;$C$3+$C$4,"",Tableau146[[#This Row],[cumul_temps]]/60)</f>
        <v/>
      </c>
      <c r="F65" s="3" t="str">
        <f t="shared" ref="F65" si="140">IF(K64&gt;$C$3+$C$4,"",60*$B$13)</f>
        <v/>
      </c>
      <c r="G65" s="3" t="str">
        <f t="shared" ref="G65" si="141">IF(K64&gt;$C$3+$C$4,"",G63+1)</f>
        <v/>
      </c>
      <c r="H65" s="13" t="str">
        <f t="shared" ref="H65" si="142">IF(K64&gt;$C$3+$C$4,"",(K64-$G$26)/$C$4)</f>
        <v/>
      </c>
      <c r="I65" s="13" t="str">
        <f>IF(K64&gt;$C$3+$C$4,"",ROUND(IF(Tableau146[[#This Row],[Temps_Ref]]&gt;0,($F$13*Tableau146[[#This Row],[Temps_Ref]]^4+$G$13*Tableau146[[#This Row],[Temps_Ref]]^3+$H$13*Tableau146[[#This Row],[Temps_Ref]]^2+$I$13)/$J$13,0),1))</f>
        <v/>
      </c>
      <c r="J65" s="3" t="str">
        <f>IF(K64&gt;$C$3+$C$4,"",Tableau146[[#This Row],[duree_standard]]*Tableau146[[#This Row],[Correction_DuréeEffortIntense]])</f>
        <v/>
      </c>
      <c r="K65" s="3">
        <f>IF(K64&lt;($B$3+$B$4)*60,K64+Tableau146[[#This Row],[Durée_Corrigée]],K64)</f>
        <v>1125</v>
      </c>
      <c r="L65" s="3" t="str">
        <f t="shared" ref="L65:L96" si="143">IF(K64&gt;$C$3+$C$4,"",$B$8)</f>
        <v/>
      </c>
      <c r="M65" s="3" t="str">
        <f t="shared" ref="M65:M96" si="144">IF(K64&gt;$C$3+$C$4,"",$B$11)</f>
        <v/>
      </c>
    </row>
    <row r="66" spans="2:13" x14ac:dyDescent="0.25">
      <c r="B66" s="15"/>
      <c r="C66" s="3">
        <v>38</v>
      </c>
      <c r="D66" s="3" t="s">
        <v>7</v>
      </c>
      <c r="E66" s="3" t="str">
        <f>IF(K65&gt;$C$3+$C$4,"",Tableau146[[#This Row],[cumul_temps]]/60)</f>
        <v/>
      </c>
      <c r="F66" s="3" t="str">
        <f t="shared" ref="F66" si="145">IF(K65&gt;$C$3+$C$4,"",60*$B$14)</f>
        <v/>
      </c>
      <c r="H66" s="13"/>
      <c r="I66" s="13"/>
      <c r="J66" s="13"/>
      <c r="K66" s="3">
        <f>IF(K65&lt;($B$3+$B$4)*60,K65+Tableau146[[#This Row],[duree_standard]],K65)</f>
        <v>1125</v>
      </c>
      <c r="L66" s="3" t="str">
        <f t="shared" ref="L66:L96" si="146">IF(K65&gt;$C$3+$C$4,"",$B$7)</f>
        <v/>
      </c>
      <c r="M66" s="3" t="str">
        <f t="shared" ref="M66:M96" si="147">IF(K65&gt;$C$3+$C$4,"",$B$10)</f>
        <v/>
      </c>
    </row>
    <row r="67" spans="2:13" x14ac:dyDescent="0.25">
      <c r="B67" s="15"/>
      <c r="C67" s="3">
        <v>39</v>
      </c>
      <c r="D67" s="3" t="s">
        <v>27</v>
      </c>
      <c r="E67" s="3" t="str">
        <f>IF(K66&gt;$C$3+$C$4,"",Tableau146[[#This Row],[cumul_temps]]/60)</f>
        <v/>
      </c>
      <c r="F67" s="3" t="str">
        <f t="shared" ref="F67" si="148">IF(K66&gt;$C$3+$C$4,"",60*$B$13)</f>
        <v/>
      </c>
      <c r="G67" s="3" t="str">
        <f t="shared" ref="G67" si="149">IF(K66&gt;$C$3+$C$4,"",G65+1)</f>
        <v/>
      </c>
      <c r="H67" s="13" t="str">
        <f t="shared" ref="H67" si="150">IF(K66&gt;$C$3+$C$4,"",(K66-$G$26)/$C$4)</f>
        <v/>
      </c>
      <c r="I67" s="13" t="str">
        <f>IF(K66&gt;$C$3+$C$4,"",ROUND(IF(Tableau146[[#This Row],[Temps_Ref]]&gt;0,($F$13*Tableau146[[#This Row],[Temps_Ref]]^4+$G$13*Tableau146[[#This Row],[Temps_Ref]]^3+$H$13*Tableau146[[#This Row],[Temps_Ref]]^2+$I$13)/$J$13,0),1))</f>
        <v/>
      </c>
      <c r="J67" s="3" t="str">
        <f>IF(K66&gt;$C$3+$C$4,"",Tableau146[[#This Row],[duree_standard]]*Tableau146[[#This Row],[Correction_DuréeEffortIntense]])</f>
        <v/>
      </c>
      <c r="K67" s="3">
        <f>IF(K66&lt;($B$3+$B$4)*60,K66+Tableau146[[#This Row],[Durée_Corrigée]],K66)</f>
        <v>1125</v>
      </c>
      <c r="L67" s="3" t="str">
        <f t="shared" ref="L67:L96" si="151">IF(K66&gt;$C$3+$C$4,"",$B$8)</f>
        <v/>
      </c>
      <c r="M67" s="3" t="str">
        <f t="shared" ref="M67:M96" si="152">IF(K66&gt;$C$3+$C$4,"",$B$11)</f>
        <v/>
      </c>
    </row>
    <row r="68" spans="2:13" x14ac:dyDescent="0.25">
      <c r="B68" s="15"/>
      <c r="C68" s="3">
        <v>40</v>
      </c>
      <c r="D68" s="3" t="s">
        <v>7</v>
      </c>
      <c r="E68" s="3" t="str">
        <f>IF(K67&gt;$C$3+$C$4,"",Tableau146[[#This Row],[cumul_temps]]/60)</f>
        <v/>
      </c>
      <c r="F68" s="3" t="str">
        <f t="shared" ref="F68" si="153">IF(K67&gt;$C$3+$C$4,"",60*$B$14)</f>
        <v/>
      </c>
      <c r="H68" s="13"/>
      <c r="I68" s="13"/>
      <c r="J68" s="13"/>
      <c r="K68" s="3">
        <f>IF(K67&lt;($B$3+$B$4)*60,K67+Tableau146[[#This Row],[duree_standard]],K67)</f>
        <v>1125</v>
      </c>
      <c r="L68" s="3" t="str">
        <f t="shared" ref="L68:L96" si="154">IF(K67&gt;$C$3+$C$4,"",$B$7)</f>
        <v/>
      </c>
      <c r="M68" s="3" t="str">
        <f t="shared" ref="M68:M96" si="155">IF(K67&gt;$C$3+$C$4,"",$B$10)</f>
        <v/>
      </c>
    </row>
    <row r="69" spans="2:13" x14ac:dyDescent="0.25">
      <c r="B69" s="15"/>
      <c r="C69" s="3">
        <v>41</v>
      </c>
      <c r="D69" s="3" t="s">
        <v>27</v>
      </c>
      <c r="E69" s="3" t="str">
        <f>IF(K68&gt;$C$3+$C$4,"",Tableau146[[#This Row],[cumul_temps]]/60)</f>
        <v/>
      </c>
      <c r="F69" s="3" t="str">
        <f t="shared" ref="F69" si="156">IF(K68&gt;$C$3+$C$4,"",60*$B$13)</f>
        <v/>
      </c>
      <c r="G69" s="3" t="str">
        <f t="shared" ref="G69" si="157">IF(K68&gt;$C$3+$C$4,"",G67+1)</f>
        <v/>
      </c>
      <c r="H69" s="13" t="str">
        <f t="shared" ref="H69" si="158">IF(K68&gt;$C$3+$C$4,"",(K68-$G$26)/$C$4)</f>
        <v/>
      </c>
      <c r="I69" s="13" t="str">
        <f>IF(K68&gt;$C$3+$C$4,"",ROUND(IF(Tableau146[[#This Row],[Temps_Ref]]&gt;0,($F$13*Tableau146[[#This Row],[Temps_Ref]]^4+$G$13*Tableau146[[#This Row],[Temps_Ref]]^3+$H$13*Tableau146[[#This Row],[Temps_Ref]]^2+$I$13)/$J$13,0),1))</f>
        <v/>
      </c>
      <c r="J69" s="3" t="str">
        <f>IF(K68&gt;$C$3+$C$4,"",Tableau146[[#This Row],[duree_standard]]*Tableau146[[#This Row],[Correction_DuréeEffortIntense]])</f>
        <v/>
      </c>
      <c r="K69" s="3">
        <f>IF(K68&lt;($B$3+$B$4)*60,K68+Tableau146[[#This Row],[Durée_Corrigée]],K68)</f>
        <v>1125</v>
      </c>
      <c r="L69" s="3" t="str">
        <f t="shared" ref="L69:L96" si="159">IF(K68&gt;$C$3+$C$4,"",$B$8)</f>
        <v/>
      </c>
      <c r="M69" s="3" t="str">
        <f t="shared" ref="M69:M96" si="160">IF(K68&gt;$C$3+$C$4,"",$B$11)</f>
        <v/>
      </c>
    </row>
    <row r="70" spans="2:13" x14ac:dyDescent="0.25">
      <c r="B70" s="15"/>
      <c r="C70" s="3">
        <v>42</v>
      </c>
      <c r="D70" s="3" t="s">
        <v>7</v>
      </c>
      <c r="E70" s="3" t="str">
        <f>IF(K69&gt;$C$3+$C$4,"",Tableau146[[#This Row],[cumul_temps]]/60)</f>
        <v/>
      </c>
      <c r="F70" s="3" t="str">
        <f t="shared" ref="F70" si="161">IF(K69&gt;$C$3+$C$4,"",60*$B$14)</f>
        <v/>
      </c>
      <c r="H70" s="13"/>
      <c r="I70" s="13"/>
      <c r="J70" s="13"/>
      <c r="K70" s="3">
        <f>IF(K69&lt;($B$3+$B$4)*60,K69+Tableau146[[#This Row],[duree_standard]],K69)</f>
        <v>1125</v>
      </c>
      <c r="L70" s="3" t="str">
        <f t="shared" ref="L70:L96" si="162">IF(K69&gt;$C$3+$C$4,"",$B$7)</f>
        <v/>
      </c>
      <c r="M70" s="3" t="str">
        <f t="shared" ref="M70:M96" si="163">IF(K69&gt;$C$3+$C$4,"",$B$10)</f>
        <v/>
      </c>
    </row>
    <row r="71" spans="2:13" x14ac:dyDescent="0.25">
      <c r="B71" s="15"/>
      <c r="C71" s="3">
        <v>43</v>
      </c>
      <c r="D71" s="3" t="s">
        <v>27</v>
      </c>
      <c r="E71" s="3" t="str">
        <f>IF(K70&gt;$C$3+$C$4,"",Tableau146[[#This Row],[cumul_temps]]/60)</f>
        <v/>
      </c>
      <c r="F71" s="3" t="str">
        <f t="shared" ref="F71" si="164">IF(K70&gt;$C$3+$C$4,"",60*$B$13)</f>
        <v/>
      </c>
      <c r="G71" s="3" t="str">
        <f t="shared" ref="G71" si="165">IF(K70&gt;$C$3+$C$4,"",G69+1)</f>
        <v/>
      </c>
      <c r="H71" s="13" t="str">
        <f t="shared" ref="H71" si="166">IF(K70&gt;$C$3+$C$4,"",(K70-$G$26)/$C$4)</f>
        <v/>
      </c>
      <c r="I71" s="13" t="str">
        <f>IF(K70&gt;$C$3+$C$4,"",ROUND(IF(Tableau146[[#This Row],[Temps_Ref]]&gt;0,($F$13*Tableau146[[#This Row],[Temps_Ref]]^4+$G$13*Tableau146[[#This Row],[Temps_Ref]]^3+$H$13*Tableau146[[#This Row],[Temps_Ref]]^2+$I$13)/$J$13,0),1))</f>
        <v/>
      </c>
      <c r="J71" s="3" t="str">
        <f>IF(K70&gt;$C$3+$C$4,"",Tableau146[[#This Row],[duree_standard]]*Tableau146[[#This Row],[Correction_DuréeEffortIntense]])</f>
        <v/>
      </c>
      <c r="K71" s="3">
        <f>IF(K70&lt;($B$3+$B$4)*60,K70+Tableau146[[#This Row],[Durée_Corrigée]],K70)</f>
        <v>1125</v>
      </c>
      <c r="L71" s="3" t="str">
        <f t="shared" ref="L71:L96" si="167">IF(K70&gt;$C$3+$C$4,"",$B$8)</f>
        <v/>
      </c>
      <c r="M71" s="3" t="str">
        <f t="shared" ref="M71:M96" si="168">IF(K70&gt;$C$3+$C$4,"",$B$11)</f>
        <v/>
      </c>
    </row>
    <row r="72" spans="2:13" x14ac:dyDescent="0.25">
      <c r="B72" s="15"/>
      <c r="C72" s="3">
        <v>44</v>
      </c>
      <c r="D72" s="3" t="s">
        <v>7</v>
      </c>
      <c r="E72" s="3" t="str">
        <f>IF(K71&gt;$C$3+$C$4,"",Tableau146[[#This Row],[cumul_temps]]/60)</f>
        <v/>
      </c>
      <c r="F72" s="3" t="str">
        <f t="shared" ref="F72" si="169">IF(K71&gt;$C$3+$C$4,"",60*$B$14)</f>
        <v/>
      </c>
      <c r="H72" s="13"/>
      <c r="I72" s="13"/>
      <c r="J72" s="13"/>
      <c r="K72" s="3">
        <f>IF(K71&lt;($B$3+$B$4)*60,K71+Tableau146[[#This Row],[duree_standard]],K71)</f>
        <v>1125</v>
      </c>
      <c r="L72" s="3" t="str">
        <f t="shared" ref="L72:L96" si="170">IF(K71&gt;$C$3+$C$4,"",$B$7)</f>
        <v/>
      </c>
      <c r="M72" s="3" t="str">
        <f t="shared" ref="M72:M96" si="171">IF(K71&gt;$C$3+$C$4,"",$B$10)</f>
        <v/>
      </c>
    </row>
    <row r="73" spans="2:13" x14ac:dyDescent="0.25">
      <c r="B73" s="15"/>
      <c r="C73" s="3">
        <v>45</v>
      </c>
      <c r="D73" s="3" t="s">
        <v>27</v>
      </c>
      <c r="E73" s="3" t="str">
        <f>IF(K72&gt;$C$3+$C$4,"",Tableau146[[#This Row],[cumul_temps]]/60)</f>
        <v/>
      </c>
      <c r="F73" s="3" t="str">
        <f t="shared" ref="F73" si="172">IF(K72&gt;$C$3+$C$4,"",60*$B$13)</f>
        <v/>
      </c>
      <c r="G73" s="3" t="str">
        <f t="shared" ref="G73" si="173">IF(K72&gt;$C$3+$C$4,"",G71+1)</f>
        <v/>
      </c>
      <c r="H73" s="13" t="str">
        <f t="shared" ref="H73" si="174">IF(K72&gt;$C$3+$C$4,"",(K72-$G$26)/$C$4)</f>
        <v/>
      </c>
      <c r="I73" s="13" t="str">
        <f>IF(K72&gt;$C$3+$C$4,"",ROUND(IF(Tableau146[[#This Row],[Temps_Ref]]&gt;0,($F$13*Tableau146[[#This Row],[Temps_Ref]]^4+$G$13*Tableau146[[#This Row],[Temps_Ref]]^3+$H$13*Tableau146[[#This Row],[Temps_Ref]]^2+$I$13)/$J$13,0),1))</f>
        <v/>
      </c>
      <c r="J73" s="3" t="str">
        <f>IF(K72&gt;$C$3+$C$4,"",Tableau146[[#This Row],[duree_standard]]*Tableau146[[#This Row],[Correction_DuréeEffortIntense]])</f>
        <v/>
      </c>
      <c r="K73" s="3">
        <f>IF(K72&lt;($B$3+$B$4)*60,K72+Tableau146[[#This Row],[Durée_Corrigée]],K72)</f>
        <v>1125</v>
      </c>
      <c r="L73" s="3" t="str">
        <f t="shared" ref="L73:L96" si="175">IF(K72&gt;$C$3+$C$4,"",$B$8)</f>
        <v/>
      </c>
      <c r="M73" s="3" t="str">
        <f t="shared" ref="M73:M96" si="176">IF(K72&gt;$C$3+$C$4,"",$B$11)</f>
        <v/>
      </c>
    </row>
    <row r="74" spans="2:13" x14ac:dyDescent="0.25">
      <c r="B74" s="15"/>
      <c r="C74" s="3">
        <v>46</v>
      </c>
      <c r="D74" s="3" t="s">
        <v>7</v>
      </c>
      <c r="E74" s="3" t="str">
        <f>IF(K73&gt;$C$3+$C$4,"",Tableau146[[#This Row],[cumul_temps]]/60)</f>
        <v/>
      </c>
      <c r="F74" s="3" t="str">
        <f t="shared" ref="F74:F96" si="177">IF(K73&gt;$C$3+$C$4,"",60*$B$14)</f>
        <v/>
      </c>
      <c r="H74" s="13"/>
      <c r="I74" s="13"/>
      <c r="J74" s="13"/>
      <c r="K74" s="3">
        <f>IF(K73&lt;($B$3+$B$4)*60,K73+Tableau146[[#This Row],[duree_standard]],K73)</f>
        <v>1125</v>
      </c>
      <c r="L74" s="3" t="str">
        <f t="shared" ref="L74:L96" si="178">IF(K73&gt;$C$3+$C$4,"",$B$7)</f>
        <v/>
      </c>
      <c r="M74" s="3" t="str">
        <f t="shared" ref="M74:M96" si="179">IF(K73&gt;$C$3+$C$4,"",$B$10)</f>
        <v/>
      </c>
    </row>
    <row r="75" spans="2:13" x14ac:dyDescent="0.25">
      <c r="B75" s="15"/>
      <c r="C75" s="3">
        <v>47</v>
      </c>
      <c r="D75" s="3" t="s">
        <v>27</v>
      </c>
      <c r="E75" s="3" t="str">
        <f>IF(K74&gt;$C$3+$C$4,"",Tableau146[[#This Row],[cumul_temps]]/60)</f>
        <v/>
      </c>
      <c r="F75" s="3" t="str">
        <f t="shared" ref="F75:F96" si="180">IF(K74&gt;$C$3+$C$4,"",60*$B$13)</f>
        <v/>
      </c>
      <c r="G75" s="3" t="str">
        <f t="shared" ref="G75" si="181">IF(K74&gt;$C$3+$C$4,"",G73+1)</f>
        <v/>
      </c>
      <c r="H75" s="13" t="str">
        <f t="shared" ref="H75:H96" si="182">IF(K74&gt;$C$3+$C$4,"",(K74-$G$26)/$C$4)</f>
        <v/>
      </c>
      <c r="I75" s="13" t="str">
        <f>IF(K74&gt;$C$3+$C$4,"",ROUND(IF(Tableau146[[#This Row],[Temps_Ref]]&gt;0,($F$13*Tableau146[[#This Row],[Temps_Ref]]^4+$G$13*Tableau146[[#This Row],[Temps_Ref]]^3+$H$13*Tableau146[[#This Row],[Temps_Ref]]^2+$I$13)/$J$13,0),1))</f>
        <v/>
      </c>
      <c r="J75" s="3" t="str">
        <f>IF(K74&gt;$C$3+$C$4,"",Tableau146[[#This Row],[duree_standard]]*Tableau146[[#This Row],[Correction_DuréeEffortIntense]])</f>
        <v/>
      </c>
      <c r="K75" s="3">
        <f>IF(K74&lt;($B$3+$B$4)*60,K74+Tableau146[[#This Row],[Durée_Corrigée]],K74)</f>
        <v>1125</v>
      </c>
      <c r="L75" s="3" t="str">
        <f t="shared" ref="L75:L96" si="183">IF(K74&gt;$C$3+$C$4,"",$B$8)</f>
        <v/>
      </c>
      <c r="M75" s="3" t="str">
        <f t="shared" ref="M75:M96" si="184">IF(K74&gt;$C$3+$C$4,"",$B$11)</f>
        <v/>
      </c>
    </row>
    <row r="76" spans="2:13" x14ac:dyDescent="0.25">
      <c r="B76" s="15"/>
      <c r="C76" s="3">
        <v>48</v>
      </c>
      <c r="D76" s="3" t="s">
        <v>7</v>
      </c>
      <c r="E76" s="3" t="str">
        <f>IF(K75&gt;$C$3+$C$4,"",Tableau146[[#This Row],[cumul_temps]]/60)</f>
        <v/>
      </c>
      <c r="F76" s="3" t="str">
        <f t="shared" ref="F76:F96" si="185">IF(K75&gt;$C$3+$C$4,"",60*$B$14)</f>
        <v/>
      </c>
      <c r="H76" s="13"/>
      <c r="I76" s="13"/>
      <c r="J76" s="13"/>
      <c r="K76" s="3">
        <f>IF(K75&lt;($B$3+$B$4)*60,K75+Tableau146[[#This Row],[duree_standard]],K75)</f>
        <v>1125</v>
      </c>
      <c r="L76" s="3" t="str">
        <f t="shared" ref="L76:L96" si="186">IF(K75&gt;$C$3+$C$4,"",$B$7)</f>
        <v/>
      </c>
      <c r="M76" s="3" t="str">
        <f t="shared" ref="M76:M96" si="187">IF(K75&gt;$C$3+$C$4,"",$B$10)</f>
        <v/>
      </c>
    </row>
    <row r="77" spans="2:13" x14ac:dyDescent="0.25">
      <c r="B77" s="15"/>
      <c r="C77" s="3">
        <v>49</v>
      </c>
      <c r="D77" s="3" t="s">
        <v>27</v>
      </c>
      <c r="E77" s="3" t="str">
        <f>IF(K76&gt;$C$3+$C$4,"",Tableau146[[#This Row],[cumul_temps]]/60)</f>
        <v/>
      </c>
      <c r="F77" s="3" t="str">
        <f t="shared" ref="F77:F96" si="188">IF(K76&gt;$C$3+$C$4,"",60*$B$13)</f>
        <v/>
      </c>
      <c r="G77" s="3" t="str">
        <f t="shared" ref="G77" si="189">IF(K76&gt;$C$3+$C$4,"",G75+1)</f>
        <v/>
      </c>
      <c r="H77" s="13" t="str">
        <f t="shared" ref="H77:H96" si="190">IF(K76&gt;$C$3+$C$4,"",(K76-$G$26)/$C$4)</f>
        <v/>
      </c>
      <c r="I77" s="13" t="str">
        <f>IF(K76&gt;$C$3+$C$4,"",ROUND(IF(Tableau146[[#This Row],[Temps_Ref]]&gt;0,($F$13*Tableau146[[#This Row],[Temps_Ref]]^4+$G$13*Tableau146[[#This Row],[Temps_Ref]]^3+$H$13*Tableau146[[#This Row],[Temps_Ref]]^2+$I$13)/$J$13,0),1))</f>
        <v/>
      </c>
      <c r="J77" s="3" t="str">
        <f>IF(K76&gt;$C$3+$C$4,"",Tableau146[[#This Row],[duree_standard]]*Tableau146[[#This Row],[Correction_DuréeEffortIntense]])</f>
        <v/>
      </c>
      <c r="K77" s="3">
        <f>IF(K76&lt;($B$3+$B$4)*60,K76+Tableau146[[#This Row],[Durée_Corrigée]],K76)</f>
        <v>1125</v>
      </c>
      <c r="L77" s="3" t="str">
        <f t="shared" ref="L77:L96" si="191">IF(K76&gt;$C$3+$C$4,"",$B$8)</f>
        <v/>
      </c>
      <c r="M77" s="3" t="str">
        <f t="shared" ref="M77:M96" si="192">IF(K76&gt;$C$3+$C$4,"",$B$11)</f>
        <v/>
      </c>
    </row>
    <row r="78" spans="2:13" x14ac:dyDescent="0.25">
      <c r="B78" s="15"/>
      <c r="C78" s="3">
        <v>50</v>
      </c>
      <c r="D78" s="3" t="s">
        <v>7</v>
      </c>
      <c r="E78" s="3" t="str">
        <f>IF(K77&gt;$C$3+$C$4,"",Tableau146[[#This Row],[cumul_temps]]/60)</f>
        <v/>
      </c>
      <c r="F78" s="3" t="str">
        <f t="shared" ref="F78:F96" si="193">IF(K77&gt;$C$3+$C$4,"",60*$B$14)</f>
        <v/>
      </c>
      <c r="H78" s="13"/>
      <c r="I78" s="13"/>
      <c r="J78" s="13"/>
      <c r="K78" s="3">
        <f>IF(K77&lt;($B$3+$B$4)*60,K77+Tableau146[[#This Row],[duree_standard]],K77)</f>
        <v>1125</v>
      </c>
      <c r="L78" s="3" t="str">
        <f t="shared" ref="L78:L96" si="194">IF(K77&gt;$C$3+$C$4,"",$B$7)</f>
        <v/>
      </c>
      <c r="M78" s="3" t="str">
        <f t="shared" ref="M78:M96" si="195">IF(K77&gt;$C$3+$C$4,"",$B$10)</f>
        <v/>
      </c>
    </row>
    <row r="79" spans="2:13" x14ac:dyDescent="0.25">
      <c r="B79" s="15"/>
      <c r="C79" s="3">
        <v>51</v>
      </c>
      <c r="D79" s="3" t="s">
        <v>27</v>
      </c>
      <c r="E79" s="3" t="str">
        <f>IF(K78&gt;$C$3+$C$4,"",Tableau146[[#This Row],[cumul_temps]]/60)</f>
        <v/>
      </c>
      <c r="F79" s="3" t="str">
        <f t="shared" ref="F79:F96" si="196">IF(K78&gt;$C$3+$C$4,"",60*$B$13)</f>
        <v/>
      </c>
      <c r="G79" s="3" t="str">
        <f t="shared" ref="G79" si="197">IF(K78&gt;$C$3+$C$4,"",G77+1)</f>
        <v/>
      </c>
      <c r="H79" s="13" t="str">
        <f t="shared" ref="H79:H96" si="198">IF(K78&gt;$C$3+$C$4,"",(K78-$G$26)/$C$4)</f>
        <v/>
      </c>
      <c r="I79" s="13" t="str">
        <f>IF(K78&gt;$C$3+$C$4,"",ROUND(IF(Tableau146[[#This Row],[Temps_Ref]]&gt;0,($F$13*Tableau146[[#This Row],[Temps_Ref]]^4+$G$13*Tableau146[[#This Row],[Temps_Ref]]^3+$H$13*Tableau146[[#This Row],[Temps_Ref]]^2+$I$13)/$J$13,0),1))</f>
        <v/>
      </c>
      <c r="J79" s="3" t="str">
        <f>IF(K78&gt;$C$3+$C$4,"",Tableau146[[#This Row],[duree_standard]]*Tableau146[[#This Row],[Correction_DuréeEffortIntense]])</f>
        <v/>
      </c>
      <c r="K79" s="3">
        <f>IF(K78&lt;($B$3+$B$4)*60,K78+Tableau146[[#This Row],[Durée_Corrigée]],K78)</f>
        <v>1125</v>
      </c>
      <c r="L79" s="3" t="str">
        <f t="shared" ref="L79:L96" si="199">IF(K78&gt;$C$3+$C$4,"",$B$8)</f>
        <v/>
      </c>
      <c r="M79" s="3" t="str">
        <f t="shared" ref="M79:M96" si="200">IF(K78&gt;$C$3+$C$4,"",$B$11)</f>
        <v/>
      </c>
    </row>
    <row r="80" spans="2:13" x14ac:dyDescent="0.25">
      <c r="B80" s="15"/>
      <c r="C80" s="3">
        <v>52</v>
      </c>
      <c r="D80" s="3" t="s">
        <v>7</v>
      </c>
      <c r="E80" s="3" t="str">
        <f>IF(K79&gt;$C$3+$C$4,"",Tableau146[[#This Row],[cumul_temps]]/60)</f>
        <v/>
      </c>
      <c r="F80" s="3" t="str">
        <f t="shared" ref="F80:F96" si="201">IF(K79&gt;$C$3+$C$4,"",60*$B$14)</f>
        <v/>
      </c>
      <c r="H80" s="13"/>
      <c r="I80" s="13"/>
      <c r="J80" s="13"/>
      <c r="K80" s="3">
        <f>IF(K79&lt;($B$3+$B$4)*60,K79+Tableau146[[#This Row],[duree_standard]],K79)</f>
        <v>1125</v>
      </c>
      <c r="L80" s="3" t="str">
        <f t="shared" ref="L80:L96" si="202">IF(K79&gt;$C$3+$C$4,"",$B$7)</f>
        <v/>
      </c>
      <c r="M80" s="3" t="str">
        <f t="shared" ref="M80:M96" si="203">IF(K79&gt;$C$3+$C$4,"",$B$10)</f>
        <v/>
      </c>
    </row>
    <row r="81" spans="2:13" x14ac:dyDescent="0.25">
      <c r="B81" s="15"/>
      <c r="C81" s="3">
        <v>53</v>
      </c>
      <c r="D81" s="3" t="s">
        <v>27</v>
      </c>
      <c r="E81" s="3" t="str">
        <f>IF(K80&gt;$C$3+$C$4,"",Tableau146[[#This Row],[cumul_temps]]/60)</f>
        <v/>
      </c>
      <c r="F81" s="3" t="str">
        <f t="shared" ref="F81:F96" si="204">IF(K80&gt;$C$3+$C$4,"",60*$B$13)</f>
        <v/>
      </c>
      <c r="G81" s="3" t="str">
        <f t="shared" ref="G81" si="205">IF(K80&gt;$C$3+$C$4,"",G79+1)</f>
        <v/>
      </c>
      <c r="H81" s="13" t="str">
        <f t="shared" ref="H81:H96" si="206">IF(K80&gt;$C$3+$C$4,"",(K80-$G$26)/$C$4)</f>
        <v/>
      </c>
      <c r="I81" s="13" t="str">
        <f>IF(K80&gt;$C$3+$C$4,"",ROUND(IF(Tableau146[[#This Row],[Temps_Ref]]&gt;0,($F$13*Tableau146[[#This Row],[Temps_Ref]]^4+$G$13*Tableau146[[#This Row],[Temps_Ref]]^3+$H$13*Tableau146[[#This Row],[Temps_Ref]]^2+$I$13)/$J$13,0),1))</f>
        <v/>
      </c>
      <c r="J81" s="3" t="str">
        <f>IF(K80&gt;$C$3+$C$4,"",Tableau146[[#This Row],[duree_standard]]*Tableau146[[#This Row],[Correction_DuréeEffortIntense]])</f>
        <v/>
      </c>
      <c r="K81" s="3">
        <f>IF(K80&lt;($B$3+$B$4)*60,K80+Tableau146[[#This Row],[Durée_Corrigée]],K80)</f>
        <v>1125</v>
      </c>
      <c r="L81" s="3" t="str">
        <f t="shared" ref="L81:L96" si="207">IF(K80&gt;$C$3+$C$4,"",$B$8)</f>
        <v/>
      </c>
      <c r="M81" s="3" t="str">
        <f t="shared" ref="M81:M96" si="208">IF(K80&gt;$C$3+$C$4,"",$B$11)</f>
        <v/>
      </c>
    </row>
    <row r="82" spans="2:13" x14ac:dyDescent="0.25">
      <c r="B82" s="15"/>
      <c r="C82" s="3">
        <v>54</v>
      </c>
      <c r="D82" s="3" t="s">
        <v>7</v>
      </c>
      <c r="E82" s="3" t="str">
        <f>IF(K81&gt;$C$3+$C$4,"",Tableau146[[#This Row],[cumul_temps]]/60)</f>
        <v/>
      </c>
      <c r="F82" s="3" t="str">
        <f t="shared" ref="F82:F96" si="209">IF(K81&gt;$C$3+$C$4,"",60*$B$14)</f>
        <v/>
      </c>
      <c r="H82" s="13"/>
      <c r="I82" s="13"/>
      <c r="J82" s="13"/>
      <c r="K82" s="3">
        <f>IF(K81&lt;($B$3+$B$4)*60,K81+Tableau146[[#This Row],[duree_standard]],K81)</f>
        <v>1125</v>
      </c>
      <c r="L82" s="3" t="str">
        <f t="shared" ref="L82:L96" si="210">IF(K81&gt;$C$3+$C$4,"",$B$7)</f>
        <v/>
      </c>
      <c r="M82" s="3" t="str">
        <f t="shared" ref="M82:M96" si="211">IF(K81&gt;$C$3+$C$4,"",$B$10)</f>
        <v/>
      </c>
    </row>
    <row r="83" spans="2:13" x14ac:dyDescent="0.25">
      <c r="B83" s="15"/>
      <c r="C83" s="3">
        <v>55</v>
      </c>
      <c r="D83" s="3" t="s">
        <v>27</v>
      </c>
      <c r="E83" s="3" t="str">
        <f>IF(K82&gt;$C$3+$C$4,"",Tableau146[[#This Row],[cumul_temps]]/60)</f>
        <v/>
      </c>
      <c r="F83" s="3" t="str">
        <f t="shared" ref="F83:F96" si="212">IF(K82&gt;$C$3+$C$4,"",60*$B$13)</f>
        <v/>
      </c>
      <c r="G83" s="3" t="str">
        <f t="shared" ref="G83" si="213">IF(K82&gt;$C$3+$C$4,"",G81+1)</f>
        <v/>
      </c>
      <c r="H83" s="13" t="str">
        <f t="shared" ref="H83:H96" si="214">IF(K82&gt;$C$3+$C$4,"",(K82-$G$26)/$C$4)</f>
        <v/>
      </c>
      <c r="I83" s="13" t="str">
        <f>IF(K82&gt;$C$3+$C$4,"",ROUND(IF(Tableau146[[#This Row],[Temps_Ref]]&gt;0,($F$13*Tableau146[[#This Row],[Temps_Ref]]^4+$G$13*Tableau146[[#This Row],[Temps_Ref]]^3+$H$13*Tableau146[[#This Row],[Temps_Ref]]^2+$I$13)/$J$13,0),1))</f>
        <v/>
      </c>
      <c r="J83" s="3" t="str">
        <f>IF(K82&gt;$C$3+$C$4,"",Tableau146[[#This Row],[duree_standard]]*Tableau146[[#This Row],[Correction_DuréeEffortIntense]])</f>
        <v/>
      </c>
      <c r="K83" s="3">
        <f>IF(K82&lt;($B$3+$B$4)*60,K82+Tableau146[[#This Row],[Durée_Corrigée]],K82)</f>
        <v>1125</v>
      </c>
      <c r="L83" s="3" t="str">
        <f t="shared" ref="L83:L96" si="215">IF(K82&gt;$C$3+$C$4,"",$B$8)</f>
        <v/>
      </c>
      <c r="M83" s="3" t="str">
        <f t="shared" ref="M83:M96" si="216">IF(K82&gt;$C$3+$C$4,"",$B$11)</f>
        <v/>
      </c>
    </row>
    <row r="84" spans="2:13" x14ac:dyDescent="0.25">
      <c r="B84" s="15"/>
      <c r="C84" s="3">
        <v>56</v>
      </c>
      <c r="D84" s="3" t="s">
        <v>7</v>
      </c>
      <c r="E84" s="3" t="str">
        <f>IF(K83&gt;$C$3+$C$4,"",Tableau146[[#This Row],[cumul_temps]]/60)</f>
        <v/>
      </c>
      <c r="F84" s="3" t="str">
        <f t="shared" ref="F84:F96" si="217">IF(K83&gt;$C$3+$C$4,"",60*$B$14)</f>
        <v/>
      </c>
      <c r="H84" s="13"/>
      <c r="I84" s="13"/>
      <c r="J84" s="13"/>
      <c r="K84" s="3">
        <f>IF(K83&lt;($B$3+$B$4)*60,K83+Tableau146[[#This Row],[duree_standard]],K83)</f>
        <v>1125</v>
      </c>
      <c r="L84" s="3" t="str">
        <f t="shared" ref="L84:L96" si="218">IF(K83&gt;$C$3+$C$4,"",$B$7)</f>
        <v/>
      </c>
      <c r="M84" s="3" t="str">
        <f t="shared" ref="M84:M96" si="219">IF(K83&gt;$C$3+$C$4,"",$B$10)</f>
        <v/>
      </c>
    </row>
    <row r="85" spans="2:13" x14ac:dyDescent="0.25">
      <c r="B85" s="15"/>
      <c r="C85" s="3">
        <v>57</v>
      </c>
      <c r="D85" s="3" t="s">
        <v>27</v>
      </c>
      <c r="E85" s="3" t="str">
        <f>IF(K84&gt;$C$3+$C$4,"",Tableau146[[#This Row],[cumul_temps]]/60)</f>
        <v/>
      </c>
      <c r="F85" s="3" t="str">
        <f t="shared" ref="F85:F96" si="220">IF(K84&gt;$C$3+$C$4,"",60*$B$13)</f>
        <v/>
      </c>
      <c r="G85" s="3" t="str">
        <f t="shared" ref="G85" si="221">IF(K84&gt;$C$3+$C$4,"",G83+1)</f>
        <v/>
      </c>
      <c r="H85" s="13" t="str">
        <f t="shared" ref="H85:H96" si="222">IF(K84&gt;$C$3+$C$4,"",(K84-$G$26)/$C$4)</f>
        <v/>
      </c>
      <c r="I85" s="13" t="str">
        <f>IF(K84&gt;$C$3+$C$4,"",ROUND(IF(Tableau146[[#This Row],[Temps_Ref]]&gt;0,($F$13*Tableau146[[#This Row],[Temps_Ref]]^4+$G$13*Tableau146[[#This Row],[Temps_Ref]]^3+$H$13*Tableau146[[#This Row],[Temps_Ref]]^2+$I$13)/$J$13,0),1))</f>
        <v/>
      </c>
      <c r="J85" s="3" t="str">
        <f>IF(K84&gt;$C$3+$C$4,"",Tableau146[[#This Row],[duree_standard]]*Tableau146[[#This Row],[Correction_DuréeEffortIntense]])</f>
        <v/>
      </c>
      <c r="K85" s="3">
        <f>IF(K84&lt;($B$3+$B$4)*60,K84+Tableau146[[#This Row],[Durée_Corrigée]],K84)</f>
        <v>1125</v>
      </c>
      <c r="L85" s="3" t="str">
        <f t="shared" ref="L85:L96" si="223">IF(K84&gt;$C$3+$C$4,"",$B$8)</f>
        <v/>
      </c>
      <c r="M85" s="3" t="str">
        <f t="shared" ref="M85:M96" si="224">IF(K84&gt;$C$3+$C$4,"",$B$11)</f>
        <v/>
      </c>
    </row>
    <row r="86" spans="2:13" x14ac:dyDescent="0.25">
      <c r="B86" s="15"/>
      <c r="C86" s="3">
        <v>58</v>
      </c>
      <c r="D86" s="3" t="s">
        <v>7</v>
      </c>
      <c r="E86" s="3" t="str">
        <f>IF(K85&gt;$C$3+$C$4,"",Tableau146[[#This Row],[cumul_temps]]/60)</f>
        <v/>
      </c>
      <c r="F86" s="3" t="str">
        <f t="shared" ref="F86:F96" si="225">IF(K85&gt;$C$3+$C$4,"",60*$B$14)</f>
        <v/>
      </c>
      <c r="H86" s="13"/>
      <c r="I86" s="13"/>
      <c r="J86" s="13"/>
      <c r="K86" s="3">
        <f>IF(K85&lt;($B$3+$B$4)*60,K85+Tableau146[[#This Row],[duree_standard]],K85)</f>
        <v>1125</v>
      </c>
      <c r="L86" s="3" t="str">
        <f t="shared" ref="L86:L96" si="226">IF(K85&gt;$C$3+$C$4,"",$B$7)</f>
        <v/>
      </c>
      <c r="M86" s="3" t="str">
        <f t="shared" ref="M86:M96" si="227">IF(K85&gt;$C$3+$C$4,"",$B$10)</f>
        <v/>
      </c>
    </row>
    <row r="87" spans="2:13" x14ac:dyDescent="0.25">
      <c r="B87" s="15"/>
      <c r="C87" s="3">
        <v>59</v>
      </c>
      <c r="D87" s="3" t="s">
        <v>27</v>
      </c>
      <c r="E87" s="3" t="str">
        <f>IF(K86&gt;$C$3+$C$4,"",Tableau146[[#This Row],[cumul_temps]]/60)</f>
        <v/>
      </c>
      <c r="F87" s="3" t="str">
        <f t="shared" ref="F87:F96" si="228">IF(K86&gt;$C$3+$C$4,"",60*$B$13)</f>
        <v/>
      </c>
      <c r="G87" s="3" t="str">
        <f t="shared" ref="G87" si="229">IF(K86&gt;$C$3+$C$4,"",G85+1)</f>
        <v/>
      </c>
      <c r="H87" s="13" t="str">
        <f t="shared" ref="H87:H96" si="230">IF(K86&gt;$C$3+$C$4,"",(K86-$G$26)/$C$4)</f>
        <v/>
      </c>
      <c r="I87" s="13" t="str">
        <f>IF(K86&gt;$C$3+$C$4,"",ROUND(IF(Tableau146[[#This Row],[Temps_Ref]]&gt;0,($F$13*Tableau146[[#This Row],[Temps_Ref]]^4+$G$13*Tableau146[[#This Row],[Temps_Ref]]^3+$H$13*Tableau146[[#This Row],[Temps_Ref]]^2+$I$13)/$J$13,0),1))</f>
        <v/>
      </c>
      <c r="J87" s="3" t="str">
        <f>IF(K86&gt;$C$3+$C$4,"",Tableau146[[#This Row],[duree_standard]]*Tableau146[[#This Row],[Correction_DuréeEffortIntense]])</f>
        <v/>
      </c>
      <c r="K87" s="3">
        <f>IF(K86&lt;($B$3+$B$4)*60,K86+Tableau146[[#This Row],[Durée_Corrigée]],K86)</f>
        <v>1125</v>
      </c>
      <c r="L87" s="3" t="str">
        <f t="shared" ref="L87:L96" si="231">IF(K86&gt;$C$3+$C$4,"",$B$8)</f>
        <v/>
      </c>
      <c r="M87" s="3" t="str">
        <f t="shared" ref="M87:M96" si="232">IF(K86&gt;$C$3+$C$4,"",$B$11)</f>
        <v/>
      </c>
    </row>
    <row r="88" spans="2:13" x14ac:dyDescent="0.25">
      <c r="B88" s="15"/>
      <c r="C88" s="3">
        <v>60</v>
      </c>
      <c r="D88" s="3" t="s">
        <v>7</v>
      </c>
      <c r="E88" s="3" t="str">
        <f>IF(K87&gt;$C$3+$C$4,"",Tableau146[[#This Row],[cumul_temps]]/60)</f>
        <v/>
      </c>
      <c r="F88" s="3" t="str">
        <f t="shared" ref="F88:F96" si="233">IF(K87&gt;$C$3+$C$4,"",60*$B$14)</f>
        <v/>
      </c>
      <c r="H88" s="13"/>
      <c r="I88" s="13"/>
      <c r="J88" s="13"/>
      <c r="K88" s="3">
        <f>IF(K87&lt;($B$3+$B$4)*60,K87+Tableau146[[#This Row],[duree_standard]],K87)</f>
        <v>1125</v>
      </c>
      <c r="L88" s="3" t="str">
        <f t="shared" ref="L88:L96" si="234">IF(K87&gt;$C$3+$C$4,"",$B$7)</f>
        <v/>
      </c>
      <c r="M88" s="3" t="str">
        <f t="shared" ref="M88:M96" si="235">IF(K87&gt;$C$3+$C$4,"",$B$10)</f>
        <v/>
      </c>
    </row>
    <row r="89" spans="2:13" x14ac:dyDescent="0.25">
      <c r="B89" s="15"/>
      <c r="C89" s="3">
        <v>61</v>
      </c>
      <c r="D89" s="3" t="s">
        <v>27</v>
      </c>
      <c r="E89" s="3" t="str">
        <f>IF(K88&gt;$C$3+$C$4,"",Tableau146[[#This Row],[cumul_temps]]/60)</f>
        <v/>
      </c>
      <c r="F89" s="3" t="str">
        <f t="shared" ref="F89:F96" si="236">IF(K88&gt;$C$3+$C$4,"",60*$B$13)</f>
        <v/>
      </c>
      <c r="G89" s="3" t="str">
        <f t="shared" ref="G89" si="237">IF(K88&gt;$C$3+$C$4,"",G87+1)</f>
        <v/>
      </c>
      <c r="H89" s="13" t="str">
        <f t="shared" ref="H89:H96" si="238">IF(K88&gt;$C$3+$C$4,"",(K88-$G$26)/$C$4)</f>
        <v/>
      </c>
      <c r="I89" s="13" t="str">
        <f>IF(K88&gt;$C$3+$C$4,"",ROUND(IF(Tableau146[[#This Row],[Temps_Ref]]&gt;0,($F$13*Tableau146[[#This Row],[Temps_Ref]]^4+$G$13*Tableau146[[#This Row],[Temps_Ref]]^3+$H$13*Tableau146[[#This Row],[Temps_Ref]]^2+$I$13)/$J$13,0),1))</f>
        <v/>
      </c>
      <c r="J89" s="3" t="str">
        <f>IF(K88&gt;$C$3+$C$4,"",Tableau146[[#This Row],[duree_standard]]*Tableau146[[#This Row],[Correction_DuréeEffortIntense]])</f>
        <v/>
      </c>
      <c r="K89" s="3">
        <f>IF(K88&lt;($B$3+$B$4)*60,K88+Tableau146[[#This Row],[Durée_Corrigée]],K88)</f>
        <v>1125</v>
      </c>
      <c r="L89" s="3" t="str">
        <f t="shared" ref="L89:L96" si="239">IF(K88&gt;$C$3+$C$4,"",$B$8)</f>
        <v/>
      </c>
      <c r="M89" s="3" t="str">
        <f t="shared" ref="M89:M96" si="240">IF(K88&gt;$C$3+$C$4,"",$B$11)</f>
        <v/>
      </c>
    </row>
    <row r="90" spans="2:13" x14ac:dyDescent="0.25">
      <c r="B90" s="15"/>
      <c r="C90" s="3">
        <v>62</v>
      </c>
      <c r="D90" s="3" t="s">
        <v>7</v>
      </c>
      <c r="E90" s="3" t="str">
        <f>IF(K89&gt;$C$3+$C$4,"",Tableau146[[#This Row],[cumul_temps]]/60)</f>
        <v/>
      </c>
      <c r="F90" s="3" t="str">
        <f t="shared" ref="F90:F96" si="241">IF(K89&gt;$C$3+$C$4,"",60*$B$14)</f>
        <v/>
      </c>
      <c r="H90" s="13"/>
      <c r="I90" s="13"/>
      <c r="J90" s="13"/>
      <c r="K90" s="3">
        <f>IF(K89&lt;($B$3+$B$4)*60,K89+Tableau146[[#This Row],[duree_standard]],K89)</f>
        <v>1125</v>
      </c>
      <c r="L90" s="3" t="str">
        <f t="shared" ref="L90:L96" si="242">IF(K89&gt;$C$3+$C$4,"",$B$7)</f>
        <v/>
      </c>
      <c r="M90" s="3" t="str">
        <f t="shared" ref="M90:M96" si="243">IF(K89&gt;$C$3+$C$4,"",$B$10)</f>
        <v/>
      </c>
    </row>
    <row r="91" spans="2:13" x14ac:dyDescent="0.25">
      <c r="B91" s="15"/>
      <c r="C91" s="3">
        <v>63</v>
      </c>
      <c r="D91" s="3" t="s">
        <v>27</v>
      </c>
      <c r="E91" s="3" t="str">
        <f>IF(K90&gt;$C$3+$C$4,"",Tableau146[[#This Row],[cumul_temps]]/60)</f>
        <v/>
      </c>
      <c r="F91" s="3" t="str">
        <f t="shared" ref="F91:F96" si="244">IF(K90&gt;$C$3+$C$4,"",60*$B$13)</f>
        <v/>
      </c>
      <c r="G91" s="3" t="str">
        <f t="shared" ref="G91" si="245">IF(K90&gt;$C$3+$C$4,"",G89+1)</f>
        <v/>
      </c>
      <c r="H91" s="13" t="str">
        <f t="shared" ref="H91:H96" si="246">IF(K90&gt;$C$3+$C$4,"",(K90-$G$26)/$C$4)</f>
        <v/>
      </c>
      <c r="I91" s="13" t="str">
        <f>IF(K90&gt;$C$3+$C$4,"",ROUND(IF(Tableau146[[#This Row],[Temps_Ref]]&gt;0,($F$13*Tableau146[[#This Row],[Temps_Ref]]^4+$G$13*Tableau146[[#This Row],[Temps_Ref]]^3+$H$13*Tableau146[[#This Row],[Temps_Ref]]^2+$I$13)/$J$13,0),1))</f>
        <v/>
      </c>
      <c r="J91" s="3" t="str">
        <f>IF(K90&gt;$C$3+$C$4,"",Tableau146[[#This Row],[duree_standard]]*Tableau146[[#This Row],[Correction_DuréeEffortIntense]])</f>
        <v/>
      </c>
      <c r="K91" s="3">
        <f>IF(K90&lt;($B$3+$B$4)*60,K90+Tableau146[[#This Row],[Durée_Corrigée]],K90)</f>
        <v>1125</v>
      </c>
      <c r="L91" s="3" t="str">
        <f t="shared" ref="L91:L96" si="247">IF(K90&gt;$C$3+$C$4,"",$B$8)</f>
        <v/>
      </c>
      <c r="M91" s="3" t="str">
        <f t="shared" ref="M91:M96" si="248">IF(K90&gt;$C$3+$C$4,"",$B$11)</f>
        <v/>
      </c>
    </row>
    <row r="92" spans="2:13" x14ac:dyDescent="0.25">
      <c r="B92" s="15"/>
      <c r="C92" s="3">
        <v>64</v>
      </c>
      <c r="D92" s="3" t="s">
        <v>7</v>
      </c>
      <c r="E92" s="3" t="str">
        <f>IF(K91&gt;$C$3+$C$4,"",Tableau146[[#This Row],[cumul_temps]]/60)</f>
        <v/>
      </c>
      <c r="F92" s="3" t="str">
        <f t="shared" ref="F92:F96" si="249">IF(K91&gt;$C$3+$C$4,"",60*$B$14)</f>
        <v/>
      </c>
      <c r="H92" s="13"/>
      <c r="I92" s="13"/>
      <c r="J92" s="13"/>
      <c r="K92" s="3">
        <f>IF(K91&lt;($B$3+$B$4)*60,K91+Tableau146[[#This Row],[duree_standard]],K91)</f>
        <v>1125</v>
      </c>
      <c r="L92" s="3" t="str">
        <f t="shared" ref="L92:L96" si="250">IF(K91&gt;$C$3+$C$4,"",$B$7)</f>
        <v/>
      </c>
      <c r="M92" s="3" t="str">
        <f t="shared" ref="M92:M96" si="251">IF(K91&gt;$C$3+$C$4,"",$B$10)</f>
        <v/>
      </c>
    </row>
    <row r="93" spans="2:13" x14ac:dyDescent="0.25">
      <c r="B93" s="15"/>
      <c r="C93" s="3">
        <v>65</v>
      </c>
      <c r="D93" s="3" t="s">
        <v>27</v>
      </c>
      <c r="E93" s="3" t="str">
        <f>IF(K92&gt;$C$3+$C$4,"",Tableau146[[#This Row],[cumul_temps]]/60)</f>
        <v/>
      </c>
      <c r="F93" s="3" t="str">
        <f t="shared" ref="F93:F96" si="252">IF(K92&gt;$C$3+$C$4,"",60*$B$13)</f>
        <v/>
      </c>
      <c r="G93" s="3" t="str">
        <f t="shared" ref="G93" si="253">IF(K92&gt;$C$3+$C$4,"",G91+1)</f>
        <v/>
      </c>
      <c r="H93" s="13" t="str">
        <f t="shared" ref="H93:H96" si="254">IF(K92&gt;$C$3+$C$4,"",(K92-$G$26)/$C$4)</f>
        <v/>
      </c>
      <c r="I93" s="13" t="str">
        <f>IF(K92&gt;$C$3+$C$4,"",ROUND(IF(Tableau146[[#This Row],[Temps_Ref]]&gt;0,($F$13*Tableau146[[#This Row],[Temps_Ref]]^4+$G$13*Tableau146[[#This Row],[Temps_Ref]]^3+$H$13*Tableau146[[#This Row],[Temps_Ref]]^2+$I$13)/$J$13,0),1))</f>
        <v/>
      </c>
      <c r="J93" s="3" t="str">
        <f>IF(K92&gt;$C$3+$C$4,"",Tableau146[[#This Row],[duree_standard]]*Tableau146[[#This Row],[Correction_DuréeEffortIntense]])</f>
        <v/>
      </c>
      <c r="K93" s="3">
        <f>IF(K92&lt;($B$3+$B$4)*60,K92+Tableau146[[#This Row],[Durée_Corrigée]],K92)</f>
        <v>1125</v>
      </c>
      <c r="L93" s="3" t="str">
        <f t="shared" ref="L93:L96" si="255">IF(K92&gt;$C$3+$C$4,"",$B$8)</f>
        <v/>
      </c>
      <c r="M93" s="3" t="str">
        <f t="shared" ref="M93:M96" si="256">IF(K92&gt;$C$3+$C$4,"",$B$11)</f>
        <v/>
      </c>
    </row>
    <row r="94" spans="2:13" x14ac:dyDescent="0.25">
      <c r="B94" s="15"/>
      <c r="C94" s="3">
        <v>66</v>
      </c>
      <c r="D94" s="3" t="s">
        <v>7</v>
      </c>
      <c r="E94" s="3" t="str">
        <f>IF(K93&gt;$C$3+$C$4,"",Tableau146[[#This Row],[cumul_temps]]/60)</f>
        <v/>
      </c>
      <c r="F94" s="3" t="str">
        <f t="shared" ref="F94:F96" si="257">IF(K93&gt;$C$3+$C$4,"",60*$B$14)</f>
        <v/>
      </c>
      <c r="H94" s="13"/>
      <c r="I94" s="13"/>
      <c r="J94" s="13"/>
      <c r="K94" s="3">
        <f>IF(K93&lt;($B$3+$B$4)*60,K93+Tableau146[[#This Row],[duree_standard]],K93)</f>
        <v>1125</v>
      </c>
      <c r="L94" s="3" t="str">
        <f t="shared" ref="L94:L96" si="258">IF(K93&gt;$C$3+$C$4,"",$B$7)</f>
        <v/>
      </c>
      <c r="M94" s="3" t="str">
        <f t="shared" ref="M94:M96" si="259">IF(K93&gt;$C$3+$C$4,"",$B$10)</f>
        <v/>
      </c>
    </row>
    <row r="95" spans="2:13" x14ac:dyDescent="0.25">
      <c r="B95" s="15"/>
      <c r="C95" s="3">
        <v>67</v>
      </c>
      <c r="D95" s="3" t="s">
        <v>27</v>
      </c>
      <c r="E95" s="3" t="str">
        <f>IF(K94&gt;$C$3+$C$4,"",Tableau146[[#This Row],[cumul_temps]]/60)</f>
        <v/>
      </c>
      <c r="F95" s="3" t="str">
        <f t="shared" ref="F95:F96" si="260">IF(K94&gt;$C$3+$C$4,"",60*$B$13)</f>
        <v/>
      </c>
      <c r="G95" s="3" t="str">
        <f t="shared" ref="G95" si="261">IF(K94&gt;$C$3+$C$4,"",G93+1)</f>
        <v/>
      </c>
      <c r="H95" s="13" t="str">
        <f t="shared" ref="H95:H96" si="262">IF(K94&gt;$C$3+$C$4,"",(K94-$G$26)/$C$4)</f>
        <v/>
      </c>
      <c r="I95" s="13" t="str">
        <f>IF(K94&gt;$C$3+$C$4,"",ROUND(IF(Tableau146[[#This Row],[Temps_Ref]]&gt;0,($F$13*Tableau146[[#This Row],[Temps_Ref]]^4+$G$13*Tableau146[[#This Row],[Temps_Ref]]^3+$H$13*Tableau146[[#This Row],[Temps_Ref]]^2+$I$13)/$J$13,0),1))</f>
        <v/>
      </c>
      <c r="J95" s="3" t="str">
        <f>IF(K94&gt;$C$3+$C$4,"",Tableau146[[#This Row],[duree_standard]]*Tableau146[[#This Row],[Correction_DuréeEffortIntense]])</f>
        <v/>
      </c>
      <c r="K95" s="3">
        <f>IF(K94&lt;($B$3+$B$4)*60,K94+Tableau146[[#This Row],[Durée_Corrigée]],K94)</f>
        <v>1125</v>
      </c>
      <c r="L95" s="3" t="str">
        <f t="shared" ref="L95:L96" si="263">IF(K94&gt;$C$3+$C$4,"",$B$8)</f>
        <v/>
      </c>
      <c r="M95" s="3" t="str">
        <f t="shared" ref="M95:M96" si="264">IF(K94&gt;$C$3+$C$4,"",$B$11)</f>
        <v/>
      </c>
    </row>
    <row r="96" spans="2:13" x14ac:dyDescent="0.25">
      <c r="B96" s="16"/>
      <c r="C96" s="3">
        <v>68</v>
      </c>
      <c r="D96" s="3" t="s">
        <v>7</v>
      </c>
      <c r="E96" s="3" t="str">
        <f>IF(K95&gt;$C$3+$C$4,"",Tableau146[[#This Row],[cumul_temps]]/60)</f>
        <v/>
      </c>
      <c r="F96" s="3" t="str">
        <f t="shared" ref="F96" si="265">IF(K95&gt;$C$3+$C$4,"",60*$B$14)</f>
        <v/>
      </c>
      <c r="H96" s="13"/>
      <c r="I96" s="13"/>
      <c r="J96" s="13"/>
      <c r="K96" s="3">
        <f>IF(K95&lt;($B$3+$B$4)*60,K95+Tableau146[[#This Row],[duree_standard]],K95)</f>
        <v>1125</v>
      </c>
      <c r="L96" s="3" t="str">
        <f t="shared" ref="L96" si="266">IF(K95&gt;$C$3+$C$4,"",$B$7)</f>
        <v/>
      </c>
      <c r="M96" s="3" t="str">
        <f t="shared" ref="M96" si="267">IF(K95&gt;$C$3+$C$4,"",$B$10)</f>
        <v/>
      </c>
    </row>
    <row r="98" spans="2:10" x14ac:dyDescent="0.25">
      <c r="B98" s="14" t="s">
        <v>15</v>
      </c>
      <c r="C98" s="3" t="s">
        <v>0</v>
      </c>
      <c r="D98" s="3" t="s">
        <v>1</v>
      </c>
      <c r="E98" s="3" t="s">
        <v>2</v>
      </c>
      <c r="F98" s="3" t="s">
        <v>3</v>
      </c>
      <c r="G98" s="3" t="s">
        <v>22</v>
      </c>
      <c r="H98" s="3" t="s">
        <v>4</v>
      </c>
      <c r="I98" s="3" t="s">
        <v>5</v>
      </c>
      <c r="J98"/>
    </row>
    <row r="99" spans="2:10" x14ac:dyDescent="0.25">
      <c r="B99" s="15"/>
      <c r="C99" s="3">
        <v>1</v>
      </c>
      <c r="D99" s="3" t="s">
        <v>7</v>
      </c>
      <c r="E99" s="3">
        <f>$K$96/60</f>
        <v>18.75</v>
      </c>
      <c r="F99" s="3">
        <v>60</v>
      </c>
      <c r="G99" s="3">
        <f>$K$96+Tableau157[[#This Row],[duree_s]]</f>
        <v>1185</v>
      </c>
      <c r="H99" s="3">
        <f t="shared" ref="H99" si="268">$B$7</f>
        <v>3</v>
      </c>
      <c r="I99" s="3">
        <f t="shared" ref="I99" si="269">$B$10</f>
        <v>25</v>
      </c>
      <c r="J99"/>
    </row>
    <row r="100" spans="2:10" x14ac:dyDescent="0.25">
      <c r="B100" s="15"/>
      <c r="C100" s="3">
        <v>2</v>
      </c>
      <c r="D100" s="3" t="s">
        <v>24</v>
      </c>
      <c r="E100" s="3">
        <f>G99/60</f>
        <v>19.75</v>
      </c>
      <c r="F100" s="3">
        <v>60</v>
      </c>
      <c r="G100" s="3">
        <f>+G99+Tableau157[[#This Row],[duree_s]]</f>
        <v>1245</v>
      </c>
      <c r="H100" s="3">
        <f>ROUND($B$7+($B$8-$B$7)*2/3,0)</f>
        <v>6</v>
      </c>
      <c r="I100" s="3">
        <f>ROUND($B$10+($B$11-$B$10)*2/3,0)</f>
        <v>30</v>
      </c>
      <c r="J100"/>
    </row>
    <row r="101" spans="2:10" x14ac:dyDescent="0.25">
      <c r="B101" s="15"/>
      <c r="C101" s="3">
        <v>3</v>
      </c>
      <c r="D101" s="3" t="s">
        <v>7</v>
      </c>
      <c r="E101" s="3">
        <f t="shared" ref="E101:E105" si="270">G100/60</f>
        <v>20.75</v>
      </c>
      <c r="F101" s="3">
        <v>60</v>
      </c>
      <c r="G101" s="3">
        <f>+G100+Tableau157[[#This Row],[duree_s]]</f>
        <v>1305</v>
      </c>
      <c r="H101" s="3">
        <f t="shared" ref="H101" si="271">$B$7</f>
        <v>3</v>
      </c>
      <c r="I101" s="3">
        <f t="shared" ref="I101" si="272">$B$10</f>
        <v>25</v>
      </c>
      <c r="J101"/>
    </row>
    <row r="102" spans="2:10" x14ac:dyDescent="0.25">
      <c r="B102" s="15"/>
      <c r="C102" s="3">
        <v>6</v>
      </c>
      <c r="D102" s="3" t="s">
        <v>23</v>
      </c>
      <c r="E102" s="3">
        <f t="shared" si="270"/>
        <v>21.75</v>
      </c>
      <c r="F102" s="3">
        <v>60</v>
      </c>
      <c r="G102" s="3">
        <f>+G101+Tableau157[[#This Row],[duree_s]]</f>
        <v>1365</v>
      </c>
      <c r="H102" s="3">
        <f>ROUND($B$7+($B$8-$B$7)/3,0)</f>
        <v>4</v>
      </c>
      <c r="I102" s="3">
        <f>ROUND($B$10+($B$11-$B$10)*2/3,0)</f>
        <v>30</v>
      </c>
      <c r="J102"/>
    </row>
    <row r="103" spans="2:10" x14ac:dyDescent="0.25">
      <c r="B103" s="15"/>
      <c r="C103" s="3">
        <v>7</v>
      </c>
      <c r="D103" s="3" t="s">
        <v>7</v>
      </c>
      <c r="E103" s="3">
        <f t="shared" si="270"/>
        <v>22.75</v>
      </c>
      <c r="F103" s="3">
        <v>60</v>
      </c>
      <c r="G103" s="3">
        <f>+G102+Tableau157[[#This Row],[duree_s]]</f>
        <v>1425</v>
      </c>
      <c r="H103" s="3">
        <f t="shared" ref="H103" si="273">$B$7</f>
        <v>3</v>
      </c>
      <c r="I103" s="3">
        <f t="shared" ref="I103" si="274">$B$10</f>
        <v>25</v>
      </c>
      <c r="J103"/>
    </row>
    <row r="104" spans="2:10" x14ac:dyDescent="0.25">
      <c r="B104" s="15"/>
      <c r="C104" s="3">
        <v>8</v>
      </c>
      <c r="D104" s="3" t="s">
        <v>23</v>
      </c>
      <c r="E104" s="3">
        <f t="shared" si="270"/>
        <v>23.75</v>
      </c>
      <c r="F104" s="3">
        <v>60</v>
      </c>
      <c r="G104" s="3">
        <f>+G103+Tableau157[[#This Row],[duree_s]]</f>
        <v>1485</v>
      </c>
      <c r="H104" s="3">
        <f>$B$7</f>
        <v>3</v>
      </c>
      <c r="I104" s="3">
        <f>ROUND($B$10+($B$11-$B$10)/3,0)</f>
        <v>28</v>
      </c>
      <c r="J104"/>
    </row>
    <row r="105" spans="2:10" x14ac:dyDescent="0.25">
      <c r="B105" s="16"/>
      <c r="C105" s="3">
        <v>9</v>
      </c>
      <c r="D105" s="3" t="s">
        <v>7</v>
      </c>
      <c r="E105" s="3">
        <f t="shared" si="270"/>
        <v>24.75</v>
      </c>
      <c r="F105" s="3">
        <f>$D$1*60-G104</f>
        <v>15</v>
      </c>
      <c r="G105" s="3">
        <f>+G104+Tableau157[[#This Row],[duree_s]]</f>
        <v>1500</v>
      </c>
      <c r="H105" s="3">
        <v>2</v>
      </c>
      <c r="I105" s="3">
        <v>22</v>
      </c>
      <c r="J105"/>
    </row>
  </sheetData>
  <mergeCells count="4">
    <mergeCell ref="E11:J11"/>
    <mergeCell ref="B17:B26"/>
    <mergeCell ref="B28:B96"/>
    <mergeCell ref="B98:B105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37410-2C2C-444E-A000-08A9E108AFD2}">
  <dimension ref="A1:M105"/>
  <sheetViews>
    <sheetView zoomScale="85" zoomScaleNormal="85" workbookViewId="0">
      <pane xSplit="3" ySplit="14" topLeftCell="D63" activePane="bottomRight" state="frozen"/>
      <selection pane="topRight" activeCell="D1" sqref="D1"/>
      <selection pane="bottomLeft" activeCell="A16" sqref="A16"/>
      <selection pane="bottomRight" activeCell="B13" sqref="B13"/>
    </sheetView>
  </sheetViews>
  <sheetFormatPr baseColWidth="10" defaultRowHeight="15" x14ac:dyDescent="0.25"/>
  <cols>
    <col min="1" max="1" width="38.85546875" bestFit="1" customWidth="1"/>
    <col min="2" max="2" width="15.140625" bestFit="1" customWidth="1"/>
    <col min="3" max="3" width="13.140625" style="3" bestFit="1" customWidth="1"/>
    <col min="4" max="4" width="15.140625" style="3" bestFit="1" customWidth="1"/>
    <col min="5" max="5" width="15.28515625" style="3" bestFit="1" customWidth="1"/>
    <col min="6" max="6" width="13.140625" style="3" bestFit="1" customWidth="1"/>
    <col min="7" max="7" width="25.42578125" style="3" bestFit="1" customWidth="1"/>
    <col min="8" max="8" width="23.7109375" style="3" bestFit="1" customWidth="1"/>
    <col min="9" max="9" width="15.140625" style="3" customWidth="1"/>
    <col min="10" max="10" width="19.85546875" style="3" bestFit="1" customWidth="1"/>
    <col min="11" max="12" width="18" bestFit="1" customWidth="1"/>
    <col min="13" max="13" width="9.5703125" bestFit="1" customWidth="1"/>
  </cols>
  <sheetData>
    <row r="1" spans="1:10" ht="18.75" x14ac:dyDescent="0.3">
      <c r="A1" s="2" t="s">
        <v>41</v>
      </c>
      <c r="B1" s="2">
        <v>30</v>
      </c>
      <c r="C1" s="4" t="s">
        <v>18</v>
      </c>
      <c r="D1" s="3">
        <f>IF($B$1&lt;25,25,IF($B$1&gt;75,75,$B$1))</f>
        <v>30</v>
      </c>
      <c r="E1" s="3">
        <f>$G$105/60</f>
        <v>30</v>
      </c>
    </row>
    <row r="2" spans="1:10" x14ac:dyDescent="0.25">
      <c r="A2" s="1" t="s">
        <v>14</v>
      </c>
      <c r="B2" s="1">
        <f>+D1*60</f>
        <v>1800</v>
      </c>
    </row>
    <row r="3" spans="1:10" x14ac:dyDescent="0.25">
      <c r="A3" s="1" t="s">
        <v>16</v>
      </c>
      <c r="B3" s="1">
        <f>10</f>
        <v>10</v>
      </c>
      <c r="C3" s="6">
        <f>+B3*60</f>
        <v>600</v>
      </c>
    </row>
    <row r="4" spans="1:10" x14ac:dyDescent="0.25">
      <c r="A4" s="1" t="s">
        <v>25</v>
      </c>
      <c r="B4" s="1">
        <f>+D1-(B3+B5)</f>
        <v>12</v>
      </c>
      <c r="C4" s="6">
        <f t="shared" ref="C4:C5" si="0">+B4*60</f>
        <v>720</v>
      </c>
    </row>
    <row r="5" spans="1:10" x14ac:dyDescent="0.25">
      <c r="A5" s="1" t="s">
        <v>17</v>
      </c>
      <c r="B5" s="1">
        <v>8</v>
      </c>
      <c r="C5" s="6">
        <f t="shared" si="0"/>
        <v>480</v>
      </c>
    </row>
    <row r="6" spans="1:10" ht="18.75" x14ac:dyDescent="0.3">
      <c r="A6" s="2" t="s">
        <v>19</v>
      </c>
      <c r="B6" s="2">
        <v>5</v>
      </c>
    </row>
    <row r="7" spans="1:10" x14ac:dyDescent="0.25">
      <c r="A7" s="1" t="s">
        <v>8</v>
      </c>
      <c r="B7" s="1">
        <f>ROUND(2 + ($B$6-1)*6/9,0)</f>
        <v>5</v>
      </c>
    </row>
    <row r="8" spans="1:10" x14ac:dyDescent="0.25">
      <c r="A8" s="1" t="s">
        <v>9</v>
      </c>
      <c r="B8" s="1">
        <f>ROUND(6 + ($B$6-1)*10/9,0)</f>
        <v>10</v>
      </c>
    </row>
    <row r="9" spans="1:10" ht="18.75" x14ac:dyDescent="0.3">
      <c r="A9" s="2" t="s">
        <v>20</v>
      </c>
      <c r="B9" s="2">
        <v>5</v>
      </c>
    </row>
    <row r="10" spans="1:10" x14ac:dyDescent="0.25">
      <c r="A10" s="1" t="s">
        <v>10</v>
      </c>
      <c r="B10" s="1">
        <f>ROUND(22 + ($B$9-1)*6/9,0)</f>
        <v>25</v>
      </c>
    </row>
    <row r="11" spans="1:10" ht="15.75" x14ac:dyDescent="0.25">
      <c r="A11" s="1" t="s">
        <v>11</v>
      </c>
      <c r="B11" s="1">
        <f>ROUND(30 + ($B$9-1)*6/9,0)</f>
        <v>33</v>
      </c>
      <c r="E11" s="17" t="s">
        <v>40</v>
      </c>
      <c r="F11" s="18"/>
      <c r="G11" s="18"/>
      <c r="H11" s="18"/>
      <c r="I11" s="18"/>
      <c r="J11" s="19"/>
    </row>
    <row r="12" spans="1:10" ht="18.75" x14ac:dyDescent="0.3">
      <c r="A12" s="2" t="s">
        <v>12</v>
      </c>
      <c r="B12" s="2">
        <v>5</v>
      </c>
      <c r="C12" s="21" t="s">
        <v>42</v>
      </c>
      <c r="E12" s="7" t="s">
        <v>39</v>
      </c>
      <c r="F12" s="8" t="s">
        <v>33</v>
      </c>
      <c r="G12" s="8" t="s">
        <v>35</v>
      </c>
      <c r="H12" s="8" t="s">
        <v>36</v>
      </c>
      <c r="I12" s="8" t="s">
        <v>34</v>
      </c>
      <c r="J12" s="9" t="s">
        <v>37</v>
      </c>
    </row>
    <row r="13" spans="1:10" x14ac:dyDescent="0.25">
      <c r="A13" s="1" t="s">
        <v>32</v>
      </c>
      <c r="B13" s="5">
        <f>ROUND(((1-$C$13)*$B$12+10*$C$13-1)/9*$B$14,1)</f>
        <v>2.2000000000000002</v>
      </c>
      <c r="C13" s="20">
        <v>2</v>
      </c>
      <c r="E13" s="10">
        <f>103/72</f>
        <v>1.4305555555555556</v>
      </c>
      <c r="F13" s="11">
        <v>425</v>
      </c>
      <c r="G13" s="11">
        <v>-1010</v>
      </c>
      <c r="H13" s="11">
        <v>603</v>
      </c>
      <c r="I13" s="11">
        <v>18</v>
      </c>
      <c r="J13" s="12">
        <v>36</v>
      </c>
    </row>
    <row r="14" spans="1:10" x14ac:dyDescent="0.25">
      <c r="A14" s="1" t="s">
        <v>21</v>
      </c>
      <c r="B14" s="5">
        <f>ROUND(0.5 + (B12-1)*2/9,1)</f>
        <v>1.4</v>
      </c>
    </row>
    <row r="15" spans="1:10" x14ac:dyDescent="0.25">
      <c r="A15" s="1"/>
      <c r="B15" s="1"/>
    </row>
    <row r="17" spans="2:13" x14ac:dyDescent="0.25">
      <c r="B17" s="14" t="s">
        <v>13</v>
      </c>
      <c r="C17" s="3" t="s">
        <v>0</v>
      </c>
      <c r="D17" s="3" t="s">
        <v>1</v>
      </c>
      <c r="E17" s="3" t="s">
        <v>2</v>
      </c>
      <c r="F17" s="3" t="s">
        <v>3</v>
      </c>
      <c r="G17" s="3" t="s">
        <v>22</v>
      </c>
      <c r="H17" s="3" t="s">
        <v>4</v>
      </c>
      <c r="I17" s="3" t="s">
        <v>5</v>
      </c>
      <c r="J17"/>
    </row>
    <row r="18" spans="2:13" x14ac:dyDescent="0.25">
      <c r="B18" s="15"/>
      <c r="C18" s="3">
        <v>1</v>
      </c>
      <c r="D18" s="3" t="s">
        <v>6</v>
      </c>
      <c r="E18" s="3">
        <v>0</v>
      </c>
      <c r="F18" s="3">
        <v>120</v>
      </c>
      <c r="G18" s="3">
        <f>+F18</f>
        <v>120</v>
      </c>
      <c r="H18" s="3">
        <v>2</v>
      </c>
      <c r="I18" s="3">
        <v>22</v>
      </c>
      <c r="J18"/>
    </row>
    <row r="19" spans="2:13" x14ac:dyDescent="0.25">
      <c r="B19" s="15"/>
      <c r="C19" s="3">
        <v>2</v>
      </c>
      <c r="D19" s="3" t="s">
        <v>23</v>
      </c>
      <c r="E19" s="3">
        <f>+G18/60</f>
        <v>2</v>
      </c>
      <c r="F19" s="3">
        <v>60</v>
      </c>
      <c r="G19" s="3">
        <f t="shared" ref="G19:G26" si="1">+G18+F19</f>
        <v>180</v>
      </c>
      <c r="H19" s="3">
        <f>$B$7</f>
        <v>5</v>
      </c>
      <c r="I19" s="3">
        <f>ROUND($B$10+($B$11-$B$10)/3,0)</f>
        <v>28</v>
      </c>
      <c r="J19"/>
    </row>
    <row r="20" spans="2:13" x14ac:dyDescent="0.25">
      <c r="B20" s="15"/>
      <c r="C20" s="3">
        <v>3</v>
      </c>
      <c r="D20" s="3" t="s">
        <v>7</v>
      </c>
      <c r="E20" s="3">
        <f t="shared" ref="E20:E26" si="2">+G19/60</f>
        <v>3</v>
      </c>
      <c r="F20" s="3">
        <v>60</v>
      </c>
      <c r="G20" s="3">
        <f t="shared" si="1"/>
        <v>240</v>
      </c>
      <c r="H20" s="3">
        <v>2</v>
      </c>
      <c r="I20" s="3">
        <v>22</v>
      </c>
      <c r="J20"/>
    </row>
    <row r="21" spans="2:13" x14ac:dyDescent="0.25">
      <c r="B21" s="15"/>
      <c r="C21" s="3">
        <v>4</v>
      </c>
      <c r="D21" s="3" t="s">
        <v>24</v>
      </c>
      <c r="E21" s="3">
        <f t="shared" si="2"/>
        <v>4</v>
      </c>
      <c r="F21" s="3">
        <v>60</v>
      </c>
      <c r="G21" s="3">
        <f t="shared" si="1"/>
        <v>300</v>
      </c>
      <c r="H21" s="3">
        <f>ROUND($B$7+($B$8-$B$7)/3,0)</f>
        <v>7</v>
      </c>
      <c r="I21" s="3">
        <f>ROUND($B$10+($B$11-$B$10)/3,0)</f>
        <v>28</v>
      </c>
      <c r="J21"/>
    </row>
    <row r="22" spans="2:13" x14ac:dyDescent="0.25">
      <c r="B22" s="15"/>
      <c r="C22" s="3">
        <v>5</v>
      </c>
      <c r="D22" s="3" t="s">
        <v>7</v>
      </c>
      <c r="E22" s="3">
        <f t="shared" si="2"/>
        <v>5</v>
      </c>
      <c r="F22" s="3">
        <v>60</v>
      </c>
      <c r="G22" s="3">
        <f t="shared" si="1"/>
        <v>360</v>
      </c>
      <c r="H22" s="3">
        <f t="shared" ref="H22" si="3">$B$7</f>
        <v>5</v>
      </c>
      <c r="I22" s="3">
        <f t="shared" ref="I22" si="4">$B$10</f>
        <v>25</v>
      </c>
      <c r="J22"/>
    </row>
    <row r="23" spans="2:13" x14ac:dyDescent="0.25">
      <c r="B23" s="15"/>
      <c r="C23" s="3">
        <v>6</v>
      </c>
      <c r="D23" s="3" t="s">
        <v>23</v>
      </c>
      <c r="E23" s="3">
        <f t="shared" si="2"/>
        <v>6</v>
      </c>
      <c r="F23" s="3">
        <v>60</v>
      </c>
      <c r="G23" s="3">
        <f t="shared" si="1"/>
        <v>420</v>
      </c>
      <c r="H23" s="3">
        <f>ROUND($B$7+($B$8-$B$7)/3,0)</f>
        <v>7</v>
      </c>
      <c r="I23" s="3">
        <f>ROUND($B$10+($B$11-$B$10)*2/3,0)</f>
        <v>30</v>
      </c>
      <c r="J23"/>
    </row>
    <row r="24" spans="2:13" x14ac:dyDescent="0.25">
      <c r="B24" s="15"/>
      <c r="C24" s="3">
        <v>7</v>
      </c>
      <c r="D24" s="3" t="s">
        <v>7</v>
      </c>
      <c r="E24" s="3">
        <f t="shared" si="2"/>
        <v>7</v>
      </c>
      <c r="F24" s="3">
        <v>60</v>
      </c>
      <c r="G24" s="3">
        <f t="shared" si="1"/>
        <v>480</v>
      </c>
      <c r="H24" s="3">
        <f t="shared" ref="H24" si="5">$B$7</f>
        <v>5</v>
      </c>
      <c r="I24" s="3">
        <f t="shared" ref="I24" si="6">$B$10</f>
        <v>25</v>
      </c>
      <c r="J24"/>
    </row>
    <row r="25" spans="2:13" x14ac:dyDescent="0.25">
      <c r="B25" s="15"/>
      <c r="C25" s="3">
        <v>8</v>
      </c>
      <c r="D25" s="3" t="s">
        <v>24</v>
      </c>
      <c r="E25" s="3">
        <f t="shared" si="2"/>
        <v>8</v>
      </c>
      <c r="F25" s="3">
        <v>60</v>
      </c>
      <c r="G25" s="3">
        <f t="shared" si="1"/>
        <v>540</v>
      </c>
      <c r="H25" s="3">
        <f>ROUND($B$7+($B$8-$B$7)*2/3,0)</f>
        <v>8</v>
      </c>
      <c r="I25" s="3">
        <f>ROUND($B$10+($B$11-$B$10)*2/3,0)</f>
        <v>30</v>
      </c>
      <c r="J25"/>
    </row>
    <row r="26" spans="2:13" x14ac:dyDescent="0.25">
      <c r="B26" s="16"/>
      <c r="C26" s="3">
        <v>9</v>
      </c>
      <c r="D26" s="3" t="s">
        <v>7</v>
      </c>
      <c r="E26" s="3">
        <f t="shared" si="2"/>
        <v>9</v>
      </c>
      <c r="F26" s="3">
        <v>60</v>
      </c>
      <c r="G26" s="3">
        <f t="shared" si="1"/>
        <v>600</v>
      </c>
      <c r="H26" s="3">
        <f t="shared" ref="H26" si="7">$B$7</f>
        <v>5</v>
      </c>
      <c r="I26" s="3">
        <f t="shared" ref="I26" si="8">$B$10</f>
        <v>25</v>
      </c>
      <c r="J26"/>
    </row>
    <row r="28" spans="2:13" ht="15" customHeight="1" x14ac:dyDescent="0.25">
      <c r="B28" s="14" t="s">
        <v>26</v>
      </c>
      <c r="C28" s="3" t="s">
        <v>0</v>
      </c>
      <c r="D28" s="3" t="s">
        <v>1</v>
      </c>
      <c r="E28" s="3" t="s">
        <v>2</v>
      </c>
      <c r="F28" s="3" t="s">
        <v>30</v>
      </c>
      <c r="G28" s="3" t="s">
        <v>28</v>
      </c>
      <c r="H28" s="3" t="s">
        <v>38</v>
      </c>
      <c r="I28" s="3" t="s">
        <v>29</v>
      </c>
      <c r="J28" s="3" t="s">
        <v>31</v>
      </c>
      <c r="K28" s="3" t="s">
        <v>22</v>
      </c>
      <c r="L28" s="3" t="s">
        <v>4</v>
      </c>
      <c r="M28" s="3" t="s">
        <v>5</v>
      </c>
    </row>
    <row r="29" spans="2:13" x14ac:dyDescent="0.25">
      <c r="B29" s="15"/>
      <c r="C29" s="3">
        <v>1</v>
      </c>
      <c r="D29" s="3" t="s">
        <v>27</v>
      </c>
      <c r="E29" s="3">
        <f>$G$26/60</f>
        <v>10</v>
      </c>
      <c r="F29" s="3">
        <f>60*$B$13</f>
        <v>132</v>
      </c>
      <c r="G29" s="3">
        <v>1</v>
      </c>
      <c r="H29" s="13">
        <v>0</v>
      </c>
      <c r="I29" s="13">
        <f>ROUND(($F$13*Tableau1469[[#This Row],[Temps_Ref]]^4+$G$13*Tableau1469[[#This Row],[Temps_Ref]]^3+$H$13*Tableau1469[[#This Row],[Temps_Ref]]^2+$I$13)/$J$13,1)</f>
        <v>0.5</v>
      </c>
      <c r="J29" s="3">
        <f>Tableau1469[[#This Row],[duree_standard]]*Tableau1469[[#This Row],[Correction_DuréeEffortIntense]]</f>
        <v>66</v>
      </c>
      <c r="K29" s="3">
        <f>$G$26+Tableau1469[[#This Row],[Durée_Corrigée]]</f>
        <v>666</v>
      </c>
      <c r="L29" s="3">
        <f>$B$8</f>
        <v>10</v>
      </c>
      <c r="M29" s="3">
        <f>$B$11</f>
        <v>33</v>
      </c>
    </row>
    <row r="30" spans="2:13" x14ac:dyDescent="0.25">
      <c r="B30" s="15"/>
      <c r="C30" s="3">
        <v>2</v>
      </c>
      <c r="D30" s="3" t="s">
        <v>7</v>
      </c>
      <c r="E30" s="3">
        <f>IF(K29&gt;$C$3+$C$4,"",Tableau1469[[#This Row],[cumul_temps]]/60)</f>
        <v>12.5</v>
      </c>
      <c r="F30" s="3">
        <f>IF(K29&gt;$C$3+$C$4,"",60*$B$14)</f>
        <v>84</v>
      </c>
      <c r="H30" s="13"/>
      <c r="I30" s="13"/>
      <c r="J30" s="13"/>
      <c r="K30" s="3">
        <f>IF(K29&lt;($B$3+$B$4)*60,K29+Tableau1469[[#This Row],[duree_standard]],K29)</f>
        <v>750</v>
      </c>
      <c r="L30" s="3">
        <f>IF(K29&gt;$C$3+$C$4,"",$B$7)</f>
        <v>5</v>
      </c>
      <c r="M30" s="3">
        <f>IF(K29&gt;$C$3+$C$4,"",$B$10)</f>
        <v>25</v>
      </c>
    </row>
    <row r="31" spans="2:13" x14ac:dyDescent="0.25">
      <c r="B31" s="15"/>
      <c r="C31" s="3">
        <v>3</v>
      </c>
      <c r="D31" s="3" t="s">
        <v>27</v>
      </c>
      <c r="E31" s="3">
        <f>IF(K30&gt;$C$3+$C$4,"",Tableau1469[[#This Row],[cumul_temps]]/60)</f>
        <v>14.7</v>
      </c>
      <c r="F31" s="3">
        <f>IF(K30&gt;$C$3+$C$4,"",60*$B$13)</f>
        <v>132</v>
      </c>
      <c r="G31" s="3">
        <f>IF(K30&gt;$C$3+$C$4,"",G29+1)</f>
        <v>2</v>
      </c>
      <c r="H31" s="13">
        <f>IF(K30&gt;$C$3+$C$4,"",(K30-$G$26)/$C$4)</f>
        <v>0.20833333333333334</v>
      </c>
      <c r="I31" s="13">
        <f>IF(K30&gt;$C$3+$C$4,"",ROUND(IF(Tableau1469[[#This Row],[Temps_Ref]]&gt;0,($F$13*Tableau1469[[#This Row],[Temps_Ref]]^4+$G$13*Tableau1469[[#This Row],[Temps_Ref]]^3+$H$13*Tableau1469[[#This Row],[Temps_Ref]]^2+$I$13)/$J$13,0),1))</f>
        <v>1</v>
      </c>
      <c r="J31" s="3">
        <f>IF(K30&gt;$C$3+$C$4,"",Tableau1469[[#This Row],[duree_standard]]*Tableau1469[[#This Row],[Correction_DuréeEffortIntense]])</f>
        <v>132</v>
      </c>
      <c r="K31" s="3">
        <f>IF(K30&lt;($B$3+$B$4)*60,K30+Tableau1469[[#This Row],[Durée_Corrigée]],K30)</f>
        <v>882</v>
      </c>
      <c r="L31" s="3">
        <f>IF(K30&gt;$C$3+$C$4,"",$B$8)</f>
        <v>10</v>
      </c>
      <c r="M31" s="3">
        <f>IF(K30&gt;$C$3+$C$4,"",$B$11)</f>
        <v>33</v>
      </c>
    </row>
    <row r="32" spans="2:13" x14ac:dyDescent="0.25">
      <c r="B32" s="15"/>
      <c r="C32" s="3">
        <v>4</v>
      </c>
      <c r="D32" s="3" t="s">
        <v>7</v>
      </c>
      <c r="E32" s="3">
        <f>IF(K31&gt;$C$3+$C$4,"",Tableau1469[[#This Row],[cumul_temps]]/60)</f>
        <v>16.100000000000001</v>
      </c>
      <c r="F32" s="3">
        <f t="shared" ref="F32" si="9">IF(K31&gt;$C$3+$C$4,"",60*$B$14)</f>
        <v>84</v>
      </c>
      <c r="H32" s="13"/>
      <c r="I32" s="13"/>
      <c r="J32" s="13"/>
      <c r="K32" s="3">
        <f>IF(K31&lt;($B$3+$B$4)*60,K31+Tableau1469[[#This Row],[duree_standard]],K31)</f>
        <v>966</v>
      </c>
      <c r="L32" s="3">
        <f t="shared" ref="L32:L63" si="10">IF(K31&gt;$C$3+$C$4,"",$B$7)</f>
        <v>5</v>
      </c>
      <c r="M32" s="3">
        <f t="shared" ref="M32:M63" si="11">IF(K31&gt;$C$3+$C$4,"",$B$10)</f>
        <v>25</v>
      </c>
    </row>
    <row r="33" spans="2:13" x14ac:dyDescent="0.25">
      <c r="B33" s="15"/>
      <c r="C33" s="3">
        <v>5</v>
      </c>
      <c r="D33" s="3" t="s">
        <v>27</v>
      </c>
      <c r="E33" s="3">
        <f>IF(K32&gt;$C$3+$C$4,"",Tableau1469[[#This Row],[cumul_temps]]/60)</f>
        <v>20.279999999999998</v>
      </c>
      <c r="F33" s="3">
        <f t="shared" ref="F33" si="12">IF(K32&gt;$C$3+$C$4,"",60*$B$13)</f>
        <v>132</v>
      </c>
      <c r="G33" s="3">
        <f t="shared" ref="G33" si="13">IF(K32&gt;$C$3+$C$4,"",G31+1)</f>
        <v>3</v>
      </c>
      <c r="H33" s="13">
        <f t="shared" ref="H33" si="14">IF(K32&gt;$C$3+$C$4,"",(K32-$G$26)/$C$4)</f>
        <v>0.5083333333333333</v>
      </c>
      <c r="I33" s="13">
        <f>IF(K32&gt;$C$3+$C$4,"",ROUND(IF(Tableau1469[[#This Row],[Temps_Ref]]&gt;0,($F$13*Tableau1469[[#This Row],[Temps_Ref]]^4+$G$13*Tableau1469[[#This Row],[Temps_Ref]]^3+$H$13*Tableau1469[[#This Row],[Temps_Ref]]^2+$I$13)/$J$13,0),1))</f>
        <v>1.9</v>
      </c>
      <c r="J33" s="3">
        <f>IF(K32&gt;$C$3+$C$4,"",Tableau1469[[#This Row],[duree_standard]]*Tableau1469[[#This Row],[Correction_DuréeEffortIntense]])</f>
        <v>250.79999999999998</v>
      </c>
      <c r="K33" s="3">
        <f>IF(K32&lt;($B$3+$B$4)*60,K32+Tableau1469[[#This Row],[Durée_Corrigée]],K32)</f>
        <v>1216.8</v>
      </c>
      <c r="L33" s="3">
        <f t="shared" ref="L33:L64" si="15">IF(K32&gt;$C$3+$C$4,"",$B$8)</f>
        <v>10</v>
      </c>
      <c r="M33" s="3">
        <f t="shared" ref="M33:M64" si="16">IF(K32&gt;$C$3+$C$4,"",$B$11)</f>
        <v>33</v>
      </c>
    </row>
    <row r="34" spans="2:13" x14ac:dyDescent="0.25">
      <c r="B34" s="15"/>
      <c r="C34" s="3">
        <v>6</v>
      </c>
      <c r="D34" s="3" t="s">
        <v>7</v>
      </c>
      <c r="E34" s="3">
        <f>IF(K33&gt;$C$3+$C$4,"",Tableau1469[[#This Row],[cumul_temps]]/60)</f>
        <v>21.68</v>
      </c>
      <c r="F34" s="3">
        <f t="shared" ref="F34" si="17">IF(K33&gt;$C$3+$C$4,"",60*$B$14)</f>
        <v>84</v>
      </c>
      <c r="H34" s="13"/>
      <c r="I34" s="13"/>
      <c r="J34" s="13"/>
      <c r="K34" s="3">
        <f>IF(K33&lt;($B$3+$B$4)*60,K33+Tableau1469[[#This Row],[duree_standard]],K33)</f>
        <v>1300.8</v>
      </c>
      <c r="L34" s="3">
        <f t="shared" ref="L34:L65" si="18">IF(K33&gt;$C$3+$C$4,"",$B$7)</f>
        <v>5</v>
      </c>
      <c r="M34" s="3">
        <f t="shared" ref="M34:M65" si="19">IF(K33&gt;$C$3+$C$4,"",$B$10)</f>
        <v>25</v>
      </c>
    </row>
    <row r="35" spans="2:13" x14ac:dyDescent="0.25">
      <c r="B35" s="15"/>
      <c r="C35" s="3">
        <v>7</v>
      </c>
      <c r="D35" s="3" t="s">
        <v>27</v>
      </c>
      <c r="E35" s="3">
        <f>IF(K34&gt;$C$3+$C$4,"",Tableau1469[[#This Row],[cumul_temps]]/60)</f>
        <v>24.1</v>
      </c>
      <c r="F35" s="3">
        <f t="shared" ref="F35" si="20">IF(K34&gt;$C$3+$C$4,"",60*$B$13)</f>
        <v>132</v>
      </c>
      <c r="G35" s="3">
        <f t="shared" ref="G35" si="21">IF(K34&gt;$C$3+$C$4,"",G33+1)</f>
        <v>4</v>
      </c>
      <c r="H35" s="13">
        <f t="shared" ref="H35" si="22">IF(K34&gt;$C$3+$C$4,"",(K34-$G$26)/$C$4)</f>
        <v>0.97333333333333327</v>
      </c>
      <c r="I35" s="13">
        <f>IF(K34&gt;$C$3+$C$4,"",ROUND(IF(Tableau1469[[#This Row],[Temps_Ref]]&gt;0,($F$13*Tableau1469[[#This Row],[Temps_Ref]]^4+$G$13*Tableau1469[[#This Row],[Temps_Ref]]^3+$H$13*Tableau1469[[#This Row],[Temps_Ref]]^2+$I$13)/$J$13,0),1))</f>
        <v>1.1000000000000001</v>
      </c>
      <c r="J35" s="3">
        <f>IF(K34&gt;$C$3+$C$4,"",Tableau1469[[#This Row],[duree_standard]]*Tableau1469[[#This Row],[Correction_DuréeEffortIntense]])</f>
        <v>145.20000000000002</v>
      </c>
      <c r="K35" s="3">
        <f>IF(K34&lt;($B$3+$B$4)*60,K34+Tableau1469[[#This Row],[Durée_Corrigée]],K34)</f>
        <v>1446</v>
      </c>
      <c r="L35" s="3">
        <f t="shared" ref="L35:L66" si="23">IF(K34&gt;$C$3+$C$4,"",$B$8)</f>
        <v>10</v>
      </c>
      <c r="M35" s="3">
        <f t="shared" ref="M35:M66" si="24">IF(K34&gt;$C$3+$C$4,"",$B$11)</f>
        <v>33</v>
      </c>
    </row>
    <row r="36" spans="2:13" x14ac:dyDescent="0.25">
      <c r="B36" s="15"/>
      <c r="C36" s="3">
        <v>8</v>
      </c>
      <c r="D36" s="3" t="s">
        <v>7</v>
      </c>
      <c r="E36" s="3" t="str">
        <f>IF(K35&gt;$C$3+$C$4,"",Tableau1469[[#This Row],[cumul_temps]]/60)</f>
        <v/>
      </c>
      <c r="F36" s="3" t="str">
        <f t="shared" ref="F36" si="25">IF(K35&gt;$C$3+$C$4,"",60*$B$14)</f>
        <v/>
      </c>
      <c r="H36" s="13"/>
      <c r="I36" s="13"/>
      <c r="J36" s="13"/>
      <c r="K36" s="3">
        <f>IF(K35&lt;($B$3+$B$4)*60,K35+Tableau1469[[#This Row],[duree_standard]],K35)</f>
        <v>1446</v>
      </c>
      <c r="L36" s="3" t="str">
        <f t="shared" ref="L36:L67" si="26">IF(K35&gt;$C$3+$C$4,"",$B$7)</f>
        <v/>
      </c>
      <c r="M36" s="3" t="str">
        <f t="shared" ref="M36:M67" si="27">IF(K35&gt;$C$3+$C$4,"",$B$10)</f>
        <v/>
      </c>
    </row>
    <row r="37" spans="2:13" x14ac:dyDescent="0.25">
      <c r="B37" s="15"/>
      <c r="C37" s="3">
        <v>9</v>
      </c>
      <c r="D37" s="3" t="s">
        <v>27</v>
      </c>
      <c r="E37" s="3" t="str">
        <f>IF(K36&gt;$C$3+$C$4,"",Tableau1469[[#This Row],[cumul_temps]]/60)</f>
        <v/>
      </c>
      <c r="F37" s="3" t="str">
        <f t="shared" ref="F37" si="28">IF(K36&gt;$C$3+$C$4,"",60*$B$13)</f>
        <v/>
      </c>
      <c r="G37" s="3" t="str">
        <f t="shared" ref="G37" si="29">IF(K36&gt;$C$3+$C$4,"",G35+1)</f>
        <v/>
      </c>
      <c r="H37" s="13" t="str">
        <f t="shared" ref="H37" si="30">IF(K36&gt;$C$3+$C$4,"",(K36-$G$26)/$C$4)</f>
        <v/>
      </c>
      <c r="I37" s="13" t="str">
        <f>IF(K36&gt;$C$3+$C$4,"",ROUND(IF(Tableau1469[[#This Row],[Temps_Ref]]&gt;0,($F$13*Tableau1469[[#This Row],[Temps_Ref]]^4+$G$13*Tableau1469[[#This Row],[Temps_Ref]]^3+$H$13*Tableau1469[[#This Row],[Temps_Ref]]^2+$I$13)/$J$13,0),1))</f>
        <v/>
      </c>
      <c r="J37" s="3" t="str">
        <f>IF(K36&gt;$C$3+$C$4,"",Tableau1469[[#This Row],[duree_standard]]*Tableau1469[[#This Row],[Correction_DuréeEffortIntense]])</f>
        <v/>
      </c>
      <c r="K37" s="3">
        <f>IF(K36&lt;($B$3+$B$4)*60,K36+Tableau1469[[#This Row],[Durée_Corrigée]],K36)</f>
        <v>1446</v>
      </c>
      <c r="L37" s="3" t="str">
        <f t="shared" ref="L37:L68" si="31">IF(K36&gt;$C$3+$C$4,"",$B$8)</f>
        <v/>
      </c>
      <c r="M37" s="3" t="str">
        <f t="shared" ref="M37:M68" si="32">IF(K36&gt;$C$3+$C$4,"",$B$11)</f>
        <v/>
      </c>
    </row>
    <row r="38" spans="2:13" x14ac:dyDescent="0.25">
      <c r="B38" s="15"/>
      <c r="C38" s="3">
        <v>10</v>
      </c>
      <c r="D38" s="3" t="s">
        <v>7</v>
      </c>
      <c r="E38" s="3" t="str">
        <f>IF(K37&gt;$C$3+$C$4,"",Tableau1469[[#This Row],[cumul_temps]]/60)</f>
        <v/>
      </c>
      <c r="F38" s="3" t="str">
        <f t="shared" ref="F38" si="33">IF(K37&gt;$C$3+$C$4,"",60*$B$14)</f>
        <v/>
      </c>
      <c r="H38" s="13"/>
      <c r="I38" s="13"/>
      <c r="J38" s="13"/>
      <c r="K38" s="3">
        <f>IF(K37&lt;($B$3+$B$4)*60,K37+Tableau1469[[#This Row],[duree_standard]],K37)</f>
        <v>1446</v>
      </c>
      <c r="L38" s="3" t="str">
        <f t="shared" ref="L38:L69" si="34">IF(K37&gt;$C$3+$C$4,"",$B$7)</f>
        <v/>
      </c>
      <c r="M38" s="3" t="str">
        <f t="shared" ref="M38:M69" si="35">IF(K37&gt;$C$3+$C$4,"",$B$10)</f>
        <v/>
      </c>
    </row>
    <row r="39" spans="2:13" x14ac:dyDescent="0.25">
      <c r="B39" s="15"/>
      <c r="C39" s="3">
        <v>11</v>
      </c>
      <c r="D39" s="3" t="s">
        <v>27</v>
      </c>
      <c r="E39" s="3" t="str">
        <f>IF(K38&gt;$C$3+$C$4,"",Tableau1469[[#This Row],[cumul_temps]]/60)</f>
        <v/>
      </c>
      <c r="F39" s="3" t="str">
        <f t="shared" ref="F39" si="36">IF(K38&gt;$C$3+$C$4,"",60*$B$13)</f>
        <v/>
      </c>
      <c r="G39" s="3" t="str">
        <f t="shared" ref="G39" si="37">IF(K38&gt;$C$3+$C$4,"",G37+1)</f>
        <v/>
      </c>
      <c r="H39" s="13" t="str">
        <f t="shared" ref="H39" si="38">IF(K38&gt;$C$3+$C$4,"",(K38-$G$26)/$C$4)</f>
        <v/>
      </c>
      <c r="I39" s="13" t="str">
        <f>IF(K38&gt;$C$3+$C$4,"",ROUND(IF(Tableau1469[[#This Row],[Temps_Ref]]&gt;0,($F$13*Tableau1469[[#This Row],[Temps_Ref]]^4+$G$13*Tableau1469[[#This Row],[Temps_Ref]]^3+$H$13*Tableau1469[[#This Row],[Temps_Ref]]^2+$I$13)/$J$13,0),1))</f>
        <v/>
      </c>
      <c r="J39" s="3" t="str">
        <f>IF(K38&gt;$C$3+$C$4,"",Tableau1469[[#This Row],[duree_standard]]*Tableau1469[[#This Row],[Correction_DuréeEffortIntense]])</f>
        <v/>
      </c>
      <c r="K39" s="3">
        <f>IF(K38&lt;($B$3+$B$4)*60,K38+Tableau1469[[#This Row],[Durée_Corrigée]],K38)</f>
        <v>1446</v>
      </c>
      <c r="L39" s="3" t="str">
        <f t="shared" ref="L39:L70" si="39">IF(K38&gt;$C$3+$C$4,"",$B$8)</f>
        <v/>
      </c>
      <c r="M39" s="3" t="str">
        <f t="shared" ref="M39:M70" si="40">IF(K38&gt;$C$3+$C$4,"",$B$11)</f>
        <v/>
      </c>
    </row>
    <row r="40" spans="2:13" x14ac:dyDescent="0.25">
      <c r="B40" s="15"/>
      <c r="C40" s="3">
        <v>12</v>
      </c>
      <c r="D40" s="3" t="s">
        <v>7</v>
      </c>
      <c r="E40" s="3" t="str">
        <f>IF(K39&gt;$C$3+$C$4,"",Tableau1469[[#This Row],[cumul_temps]]/60)</f>
        <v/>
      </c>
      <c r="F40" s="3" t="str">
        <f t="shared" ref="F40" si="41">IF(K39&gt;$C$3+$C$4,"",60*$B$14)</f>
        <v/>
      </c>
      <c r="H40" s="13"/>
      <c r="I40" s="13"/>
      <c r="J40" s="13"/>
      <c r="K40" s="3">
        <f>IF(K39&lt;($B$3+$B$4)*60,K39+Tableau1469[[#This Row],[duree_standard]],K39)</f>
        <v>1446</v>
      </c>
      <c r="L40" s="3" t="str">
        <f t="shared" ref="L40:L71" si="42">IF(K39&gt;$C$3+$C$4,"",$B$7)</f>
        <v/>
      </c>
      <c r="M40" s="3" t="str">
        <f t="shared" ref="M40:M71" si="43">IF(K39&gt;$C$3+$C$4,"",$B$10)</f>
        <v/>
      </c>
    </row>
    <row r="41" spans="2:13" x14ac:dyDescent="0.25">
      <c r="B41" s="15"/>
      <c r="C41" s="3">
        <v>13</v>
      </c>
      <c r="D41" s="3" t="s">
        <v>27</v>
      </c>
      <c r="E41" s="3" t="str">
        <f>IF(K40&gt;$C$3+$C$4,"",Tableau1469[[#This Row],[cumul_temps]]/60)</f>
        <v/>
      </c>
      <c r="F41" s="3" t="str">
        <f t="shared" ref="F41" si="44">IF(K40&gt;$C$3+$C$4,"",60*$B$13)</f>
        <v/>
      </c>
      <c r="G41" s="3" t="str">
        <f t="shared" ref="G41" si="45">IF(K40&gt;$C$3+$C$4,"",G39+1)</f>
        <v/>
      </c>
      <c r="H41" s="13" t="str">
        <f t="shared" ref="H41" si="46">IF(K40&gt;$C$3+$C$4,"",(K40-$G$26)/$C$4)</f>
        <v/>
      </c>
      <c r="I41" s="13" t="str">
        <f>IF(K40&gt;$C$3+$C$4,"",ROUND(IF(Tableau1469[[#This Row],[Temps_Ref]]&gt;0,($F$13*Tableau1469[[#This Row],[Temps_Ref]]^4+$G$13*Tableau1469[[#This Row],[Temps_Ref]]^3+$H$13*Tableau1469[[#This Row],[Temps_Ref]]^2+$I$13)/$J$13,0),1))</f>
        <v/>
      </c>
      <c r="J41" s="3" t="str">
        <f>IF(K40&gt;$C$3+$C$4,"",Tableau1469[[#This Row],[duree_standard]]*Tableau1469[[#This Row],[Correction_DuréeEffortIntense]])</f>
        <v/>
      </c>
      <c r="K41" s="3">
        <f>IF(K40&lt;($B$3+$B$4)*60,K40+Tableau1469[[#This Row],[Durée_Corrigée]],K40)</f>
        <v>1446</v>
      </c>
      <c r="L41" s="3" t="str">
        <f t="shared" ref="L41:L72" si="47">IF(K40&gt;$C$3+$C$4,"",$B$8)</f>
        <v/>
      </c>
      <c r="M41" s="3" t="str">
        <f t="shared" ref="M41:M72" si="48">IF(K40&gt;$C$3+$C$4,"",$B$11)</f>
        <v/>
      </c>
    </row>
    <row r="42" spans="2:13" x14ac:dyDescent="0.25">
      <c r="B42" s="15"/>
      <c r="C42" s="3">
        <v>14</v>
      </c>
      <c r="D42" s="3" t="s">
        <v>7</v>
      </c>
      <c r="E42" s="3" t="str">
        <f>IF(K41&gt;$C$3+$C$4,"",Tableau1469[[#This Row],[cumul_temps]]/60)</f>
        <v/>
      </c>
      <c r="F42" s="3" t="str">
        <f t="shared" ref="F42" si="49">IF(K41&gt;$C$3+$C$4,"",60*$B$14)</f>
        <v/>
      </c>
      <c r="H42" s="13"/>
      <c r="I42" s="13"/>
      <c r="J42" s="13"/>
      <c r="K42" s="3">
        <f>IF(K41&lt;($B$3+$B$4)*60,K41+Tableau1469[[#This Row],[duree_standard]],K41)</f>
        <v>1446</v>
      </c>
      <c r="L42" s="3" t="str">
        <f t="shared" ref="L42:L73" si="50">IF(K41&gt;$C$3+$C$4,"",$B$7)</f>
        <v/>
      </c>
      <c r="M42" s="3" t="str">
        <f t="shared" ref="M42:M73" si="51">IF(K41&gt;$C$3+$C$4,"",$B$10)</f>
        <v/>
      </c>
    </row>
    <row r="43" spans="2:13" x14ac:dyDescent="0.25">
      <c r="B43" s="15"/>
      <c r="C43" s="3">
        <v>15</v>
      </c>
      <c r="D43" s="3" t="s">
        <v>27</v>
      </c>
      <c r="E43" s="3" t="str">
        <f>IF(K42&gt;$C$3+$C$4,"",Tableau1469[[#This Row],[cumul_temps]]/60)</f>
        <v/>
      </c>
      <c r="F43" s="3" t="str">
        <f t="shared" ref="F43" si="52">IF(K42&gt;$C$3+$C$4,"",60*$B$13)</f>
        <v/>
      </c>
      <c r="G43" s="3" t="str">
        <f t="shared" ref="G43" si="53">IF(K42&gt;$C$3+$C$4,"",G41+1)</f>
        <v/>
      </c>
      <c r="H43" s="13" t="str">
        <f t="shared" ref="H43" si="54">IF(K42&gt;$C$3+$C$4,"",(K42-$G$26)/$C$4)</f>
        <v/>
      </c>
      <c r="I43" s="13" t="str">
        <f>IF(K42&gt;$C$3+$C$4,"",ROUND(IF(Tableau1469[[#This Row],[Temps_Ref]]&gt;0,($F$13*Tableau1469[[#This Row],[Temps_Ref]]^4+$G$13*Tableau1469[[#This Row],[Temps_Ref]]^3+$H$13*Tableau1469[[#This Row],[Temps_Ref]]^2+$I$13)/$J$13,0),1))</f>
        <v/>
      </c>
      <c r="J43" s="3" t="str">
        <f>IF(K42&gt;$C$3+$C$4,"",Tableau1469[[#This Row],[duree_standard]]*Tableau1469[[#This Row],[Correction_DuréeEffortIntense]])</f>
        <v/>
      </c>
      <c r="K43" s="3">
        <f>IF(K42&lt;($B$3+$B$4)*60,K42+Tableau1469[[#This Row],[Durée_Corrigée]],K42)</f>
        <v>1446</v>
      </c>
      <c r="L43" s="3" t="str">
        <f t="shared" ref="L43:L74" si="55">IF(K42&gt;$C$3+$C$4,"",$B$8)</f>
        <v/>
      </c>
      <c r="M43" s="3" t="str">
        <f t="shared" ref="M43:M74" si="56">IF(K42&gt;$C$3+$C$4,"",$B$11)</f>
        <v/>
      </c>
    </row>
    <row r="44" spans="2:13" x14ac:dyDescent="0.25">
      <c r="B44" s="15"/>
      <c r="C44" s="3">
        <v>16</v>
      </c>
      <c r="D44" s="3" t="s">
        <v>7</v>
      </c>
      <c r="E44" s="3" t="str">
        <f>IF(K43&gt;$C$3+$C$4,"",Tableau1469[[#This Row],[cumul_temps]]/60)</f>
        <v/>
      </c>
      <c r="F44" s="3" t="str">
        <f t="shared" ref="F44" si="57">IF(K43&gt;$C$3+$C$4,"",60*$B$14)</f>
        <v/>
      </c>
      <c r="H44" s="13"/>
      <c r="I44" s="13"/>
      <c r="J44" s="13"/>
      <c r="K44" s="3">
        <f>IF(K43&lt;($B$3+$B$4)*60,K43+Tableau1469[[#This Row],[duree_standard]],K43)</f>
        <v>1446</v>
      </c>
      <c r="L44" s="3" t="str">
        <f t="shared" ref="L44:L75" si="58">IF(K43&gt;$C$3+$C$4,"",$B$7)</f>
        <v/>
      </c>
      <c r="M44" s="3" t="str">
        <f t="shared" ref="M44:M75" si="59">IF(K43&gt;$C$3+$C$4,"",$B$10)</f>
        <v/>
      </c>
    </row>
    <row r="45" spans="2:13" x14ac:dyDescent="0.25">
      <c r="B45" s="15"/>
      <c r="C45" s="3">
        <v>17</v>
      </c>
      <c r="D45" s="3" t="s">
        <v>27</v>
      </c>
      <c r="E45" s="3" t="str">
        <f>IF(K44&gt;$C$3+$C$4,"",Tableau1469[[#This Row],[cumul_temps]]/60)</f>
        <v/>
      </c>
      <c r="F45" s="3" t="str">
        <f t="shared" ref="F45" si="60">IF(K44&gt;$C$3+$C$4,"",60*$B$13)</f>
        <v/>
      </c>
      <c r="G45" s="3" t="str">
        <f t="shared" ref="G45" si="61">IF(K44&gt;$C$3+$C$4,"",G43+1)</f>
        <v/>
      </c>
      <c r="H45" s="13" t="str">
        <f t="shared" ref="H45" si="62">IF(K44&gt;$C$3+$C$4,"",(K44-$G$26)/$C$4)</f>
        <v/>
      </c>
      <c r="I45" s="13" t="str">
        <f>IF(K44&gt;$C$3+$C$4,"",ROUND(IF(Tableau1469[[#This Row],[Temps_Ref]]&gt;0,($F$13*Tableau1469[[#This Row],[Temps_Ref]]^4+$G$13*Tableau1469[[#This Row],[Temps_Ref]]^3+$H$13*Tableau1469[[#This Row],[Temps_Ref]]^2+$I$13)/$J$13,0),1))</f>
        <v/>
      </c>
      <c r="J45" s="3" t="str">
        <f>IF(K44&gt;$C$3+$C$4,"",Tableau1469[[#This Row],[duree_standard]]*Tableau1469[[#This Row],[Correction_DuréeEffortIntense]])</f>
        <v/>
      </c>
      <c r="K45" s="3">
        <f>IF(K44&lt;($B$3+$B$4)*60,K44+Tableau1469[[#This Row],[Durée_Corrigée]],K44)</f>
        <v>1446</v>
      </c>
      <c r="L45" s="3" t="str">
        <f t="shared" ref="L45:L76" si="63">IF(K44&gt;$C$3+$C$4,"",$B$8)</f>
        <v/>
      </c>
      <c r="M45" s="3" t="str">
        <f t="shared" ref="M45:M76" si="64">IF(K44&gt;$C$3+$C$4,"",$B$11)</f>
        <v/>
      </c>
    </row>
    <row r="46" spans="2:13" x14ac:dyDescent="0.25">
      <c r="B46" s="15"/>
      <c r="C46" s="3">
        <v>18</v>
      </c>
      <c r="D46" s="3" t="s">
        <v>7</v>
      </c>
      <c r="E46" s="3" t="str">
        <f>IF(K45&gt;$C$3+$C$4,"",Tableau1469[[#This Row],[cumul_temps]]/60)</f>
        <v/>
      </c>
      <c r="F46" s="3" t="str">
        <f t="shared" ref="F46" si="65">IF(K45&gt;$C$3+$C$4,"",60*$B$14)</f>
        <v/>
      </c>
      <c r="H46" s="13"/>
      <c r="I46" s="13"/>
      <c r="J46" s="13"/>
      <c r="K46" s="3">
        <f>IF(K45&lt;($B$3+$B$4)*60,K45+Tableau1469[[#This Row],[duree_standard]],K45)</f>
        <v>1446</v>
      </c>
      <c r="L46" s="3" t="str">
        <f t="shared" ref="L46:L77" si="66">IF(K45&gt;$C$3+$C$4,"",$B$7)</f>
        <v/>
      </c>
      <c r="M46" s="3" t="str">
        <f t="shared" ref="M46:M77" si="67">IF(K45&gt;$C$3+$C$4,"",$B$10)</f>
        <v/>
      </c>
    </row>
    <row r="47" spans="2:13" x14ac:dyDescent="0.25">
      <c r="B47" s="15"/>
      <c r="C47" s="3">
        <v>19</v>
      </c>
      <c r="D47" s="3" t="s">
        <v>27</v>
      </c>
      <c r="E47" s="3" t="str">
        <f>IF(K46&gt;$C$3+$C$4,"",Tableau1469[[#This Row],[cumul_temps]]/60)</f>
        <v/>
      </c>
      <c r="F47" s="3" t="str">
        <f t="shared" ref="F47" si="68">IF(K46&gt;$C$3+$C$4,"",60*$B$13)</f>
        <v/>
      </c>
      <c r="G47" s="3" t="str">
        <f t="shared" ref="G47" si="69">IF(K46&gt;$C$3+$C$4,"",G45+1)</f>
        <v/>
      </c>
      <c r="H47" s="13" t="str">
        <f t="shared" ref="H47" si="70">IF(K46&gt;$C$3+$C$4,"",(K46-$G$26)/$C$4)</f>
        <v/>
      </c>
      <c r="I47" s="13" t="str">
        <f>IF(K46&gt;$C$3+$C$4,"",ROUND(IF(Tableau1469[[#This Row],[Temps_Ref]]&gt;0,($F$13*Tableau1469[[#This Row],[Temps_Ref]]^4+$G$13*Tableau1469[[#This Row],[Temps_Ref]]^3+$H$13*Tableau1469[[#This Row],[Temps_Ref]]^2+$I$13)/$J$13,0),1))</f>
        <v/>
      </c>
      <c r="J47" s="3" t="str">
        <f>IF(K46&gt;$C$3+$C$4,"",Tableau1469[[#This Row],[duree_standard]]*Tableau1469[[#This Row],[Correction_DuréeEffortIntense]])</f>
        <v/>
      </c>
      <c r="K47" s="3">
        <f>IF(K46&lt;($B$3+$B$4)*60,K46+Tableau1469[[#This Row],[Durée_Corrigée]],K46)</f>
        <v>1446</v>
      </c>
      <c r="L47" s="3" t="str">
        <f t="shared" ref="L47:L78" si="71">IF(K46&gt;$C$3+$C$4,"",$B$8)</f>
        <v/>
      </c>
      <c r="M47" s="3" t="str">
        <f t="shared" ref="M47:M78" si="72">IF(K46&gt;$C$3+$C$4,"",$B$11)</f>
        <v/>
      </c>
    </row>
    <row r="48" spans="2:13" x14ac:dyDescent="0.25">
      <c r="B48" s="15"/>
      <c r="C48" s="3">
        <v>20</v>
      </c>
      <c r="D48" s="3" t="s">
        <v>7</v>
      </c>
      <c r="E48" s="3" t="str">
        <f>IF(K47&gt;$C$3+$C$4,"",Tableau1469[[#This Row],[cumul_temps]]/60)</f>
        <v/>
      </c>
      <c r="F48" s="3" t="str">
        <f t="shared" ref="F48" si="73">IF(K47&gt;$C$3+$C$4,"",60*$B$14)</f>
        <v/>
      </c>
      <c r="H48" s="13"/>
      <c r="I48" s="13"/>
      <c r="J48" s="13"/>
      <c r="K48" s="3">
        <f>IF(K47&lt;($B$3+$B$4)*60,K47+Tableau1469[[#This Row],[duree_standard]],K47)</f>
        <v>1446</v>
      </c>
      <c r="L48" s="3" t="str">
        <f t="shared" ref="L48:L79" si="74">IF(K47&gt;$C$3+$C$4,"",$B$7)</f>
        <v/>
      </c>
      <c r="M48" s="3" t="str">
        <f t="shared" ref="M48:M79" si="75">IF(K47&gt;$C$3+$C$4,"",$B$10)</f>
        <v/>
      </c>
    </row>
    <row r="49" spans="2:13" x14ac:dyDescent="0.25">
      <c r="B49" s="15"/>
      <c r="C49" s="3">
        <v>21</v>
      </c>
      <c r="D49" s="3" t="s">
        <v>27</v>
      </c>
      <c r="E49" s="3" t="str">
        <f>IF(K48&gt;$C$3+$C$4,"",Tableau1469[[#This Row],[cumul_temps]]/60)</f>
        <v/>
      </c>
      <c r="F49" s="3" t="str">
        <f t="shared" ref="F49" si="76">IF(K48&gt;$C$3+$C$4,"",60*$B$13)</f>
        <v/>
      </c>
      <c r="G49" s="3" t="str">
        <f t="shared" ref="G49" si="77">IF(K48&gt;$C$3+$C$4,"",G47+1)</f>
        <v/>
      </c>
      <c r="H49" s="13" t="str">
        <f t="shared" ref="H49" si="78">IF(K48&gt;$C$3+$C$4,"",(K48-$G$26)/$C$4)</f>
        <v/>
      </c>
      <c r="I49" s="13" t="str">
        <f>IF(K48&gt;$C$3+$C$4,"",ROUND(IF(Tableau1469[[#This Row],[Temps_Ref]]&gt;0,($F$13*Tableau1469[[#This Row],[Temps_Ref]]^4+$G$13*Tableau1469[[#This Row],[Temps_Ref]]^3+$H$13*Tableau1469[[#This Row],[Temps_Ref]]^2+$I$13)/$J$13,0),1))</f>
        <v/>
      </c>
      <c r="J49" s="3" t="str">
        <f>IF(K48&gt;$C$3+$C$4,"",Tableau1469[[#This Row],[duree_standard]]*Tableau1469[[#This Row],[Correction_DuréeEffortIntense]])</f>
        <v/>
      </c>
      <c r="K49" s="3">
        <f>IF(K48&lt;($B$3+$B$4)*60,K48+Tableau1469[[#This Row],[Durée_Corrigée]],K48)</f>
        <v>1446</v>
      </c>
      <c r="L49" s="3" t="str">
        <f t="shared" ref="L49:L96" si="79">IF(K48&gt;$C$3+$C$4,"",$B$8)</f>
        <v/>
      </c>
      <c r="M49" s="3" t="str">
        <f t="shared" ref="M49:M96" si="80">IF(K48&gt;$C$3+$C$4,"",$B$11)</f>
        <v/>
      </c>
    </row>
    <row r="50" spans="2:13" x14ac:dyDescent="0.25">
      <c r="B50" s="15"/>
      <c r="C50" s="3">
        <v>22</v>
      </c>
      <c r="D50" s="3" t="s">
        <v>7</v>
      </c>
      <c r="E50" s="3" t="str">
        <f>IF(K49&gt;$C$3+$C$4,"",Tableau1469[[#This Row],[cumul_temps]]/60)</f>
        <v/>
      </c>
      <c r="F50" s="3" t="str">
        <f t="shared" ref="F50" si="81">IF(K49&gt;$C$3+$C$4,"",60*$B$14)</f>
        <v/>
      </c>
      <c r="H50" s="13"/>
      <c r="I50" s="13"/>
      <c r="J50" s="13"/>
      <c r="K50" s="3">
        <f>IF(K49&lt;($B$3+$B$4)*60,K49+Tableau1469[[#This Row],[duree_standard]],K49)</f>
        <v>1446</v>
      </c>
      <c r="L50" s="3" t="str">
        <f t="shared" ref="L50:L96" si="82">IF(K49&gt;$C$3+$C$4,"",$B$7)</f>
        <v/>
      </c>
      <c r="M50" s="3" t="str">
        <f t="shared" ref="M50:M96" si="83">IF(K49&gt;$C$3+$C$4,"",$B$10)</f>
        <v/>
      </c>
    </row>
    <row r="51" spans="2:13" x14ac:dyDescent="0.25">
      <c r="B51" s="15"/>
      <c r="C51" s="3">
        <v>23</v>
      </c>
      <c r="D51" s="3" t="s">
        <v>27</v>
      </c>
      <c r="E51" s="3" t="str">
        <f>IF(K50&gt;$C$3+$C$4,"",Tableau1469[[#This Row],[cumul_temps]]/60)</f>
        <v/>
      </c>
      <c r="F51" s="3" t="str">
        <f t="shared" ref="F51" si="84">IF(K50&gt;$C$3+$C$4,"",60*$B$13)</f>
        <v/>
      </c>
      <c r="G51" s="3" t="str">
        <f t="shared" ref="G51" si="85">IF(K50&gt;$C$3+$C$4,"",G49+1)</f>
        <v/>
      </c>
      <c r="H51" s="13" t="str">
        <f t="shared" ref="H51" si="86">IF(K50&gt;$C$3+$C$4,"",(K50-$G$26)/$C$4)</f>
        <v/>
      </c>
      <c r="I51" s="13" t="str">
        <f>IF(K50&gt;$C$3+$C$4,"",ROUND(IF(Tableau1469[[#This Row],[Temps_Ref]]&gt;0,($F$13*Tableau1469[[#This Row],[Temps_Ref]]^4+$G$13*Tableau1469[[#This Row],[Temps_Ref]]^3+$H$13*Tableau1469[[#This Row],[Temps_Ref]]^2+$I$13)/$J$13,0),1))</f>
        <v/>
      </c>
      <c r="J51" s="3" t="str">
        <f>IF(K50&gt;$C$3+$C$4,"",Tableau1469[[#This Row],[duree_standard]]*Tableau1469[[#This Row],[Correction_DuréeEffortIntense]])</f>
        <v/>
      </c>
      <c r="K51" s="3">
        <f>IF(K50&lt;($B$3+$B$4)*60,K50+Tableau1469[[#This Row],[Durée_Corrigée]],K50)</f>
        <v>1446</v>
      </c>
      <c r="L51" s="3" t="str">
        <f t="shared" ref="L51:L96" si="87">IF(K50&gt;$C$3+$C$4,"",$B$8)</f>
        <v/>
      </c>
      <c r="M51" s="3" t="str">
        <f t="shared" ref="M51:M96" si="88">IF(K50&gt;$C$3+$C$4,"",$B$11)</f>
        <v/>
      </c>
    </row>
    <row r="52" spans="2:13" x14ac:dyDescent="0.25">
      <c r="B52" s="15"/>
      <c r="C52" s="3">
        <v>24</v>
      </c>
      <c r="D52" s="3" t="s">
        <v>7</v>
      </c>
      <c r="E52" s="3" t="str">
        <f>IF(K51&gt;$C$3+$C$4,"",Tableau1469[[#This Row],[cumul_temps]]/60)</f>
        <v/>
      </c>
      <c r="F52" s="3" t="str">
        <f t="shared" ref="F52" si="89">IF(K51&gt;$C$3+$C$4,"",60*$B$14)</f>
        <v/>
      </c>
      <c r="H52" s="13"/>
      <c r="I52" s="13"/>
      <c r="J52" s="13"/>
      <c r="K52" s="3">
        <f>IF(K51&lt;($B$3+$B$4)*60,K51+Tableau1469[[#This Row],[duree_standard]],K51)</f>
        <v>1446</v>
      </c>
      <c r="L52" s="3" t="str">
        <f t="shared" ref="L52:L96" si="90">IF(K51&gt;$C$3+$C$4,"",$B$7)</f>
        <v/>
      </c>
      <c r="M52" s="3" t="str">
        <f t="shared" ref="M52:M96" si="91">IF(K51&gt;$C$3+$C$4,"",$B$10)</f>
        <v/>
      </c>
    </row>
    <row r="53" spans="2:13" x14ac:dyDescent="0.25">
      <c r="B53" s="15"/>
      <c r="C53" s="3">
        <v>25</v>
      </c>
      <c r="D53" s="3" t="s">
        <v>27</v>
      </c>
      <c r="E53" s="3" t="str">
        <f>IF(K52&gt;$C$3+$C$4,"",Tableau1469[[#This Row],[cumul_temps]]/60)</f>
        <v/>
      </c>
      <c r="F53" s="3" t="str">
        <f t="shared" ref="F53" si="92">IF(K52&gt;$C$3+$C$4,"",60*$B$13)</f>
        <v/>
      </c>
      <c r="G53" s="3" t="str">
        <f t="shared" ref="G53" si="93">IF(K52&gt;$C$3+$C$4,"",G51+1)</f>
        <v/>
      </c>
      <c r="H53" s="13" t="str">
        <f t="shared" ref="H53" si="94">IF(K52&gt;$C$3+$C$4,"",(K52-$G$26)/$C$4)</f>
        <v/>
      </c>
      <c r="I53" s="13" t="str">
        <f>IF(K52&gt;$C$3+$C$4,"",ROUND(IF(Tableau1469[[#This Row],[Temps_Ref]]&gt;0,($F$13*Tableau1469[[#This Row],[Temps_Ref]]^4+$G$13*Tableau1469[[#This Row],[Temps_Ref]]^3+$H$13*Tableau1469[[#This Row],[Temps_Ref]]^2+$I$13)/$J$13,0),1))</f>
        <v/>
      </c>
      <c r="J53" s="3" t="str">
        <f>IF(K52&gt;$C$3+$C$4,"",Tableau1469[[#This Row],[duree_standard]]*Tableau1469[[#This Row],[Correction_DuréeEffortIntense]])</f>
        <v/>
      </c>
      <c r="K53" s="3">
        <f>IF(K52&lt;($B$3+$B$4)*60,K52+Tableau1469[[#This Row],[Durée_Corrigée]],K52)</f>
        <v>1446</v>
      </c>
      <c r="L53" s="3" t="str">
        <f t="shared" ref="L53:L96" si="95">IF(K52&gt;$C$3+$C$4,"",$B$8)</f>
        <v/>
      </c>
      <c r="M53" s="3" t="str">
        <f t="shared" ref="M53:M96" si="96">IF(K52&gt;$C$3+$C$4,"",$B$11)</f>
        <v/>
      </c>
    </row>
    <row r="54" spans="2:13" x14ac:dyDescent="0.25">
      <c r="B54" s="15"/>
      <c r="C54" s="3">
        <v>26</v>
      </c>
      <c r="D54" s="3" t="s">
        <v>7</v>
      </c>
      <c r="E54" s="3" t="str">
        <f>IF(K53&gt;$C$3+$C$4,"",Tableau1469[[#This Row],[cumul_temps]]/60)</f>
        <v/>
      </c>
      <c r="F54" s="3" t="str">
        <f t="shared" ref="F54" si="97">IF(K53&gt;$C$3+$C$4,"",60*$B$14)</f>
        <v/>
      </c>
      <c r="H54" s="13"/>
      <c r="I54" s="13"/>
      <c r="J54" s="13"/>
      <c r="K54" s="3">
        <f>IF(K53&lt;($B$3+$B$4)*60,K53+Tableau1469[[#This Row],[duree_standard]],K53)</f>
        <v>1446</v>
      </c>
      <c r="L54" s="3" t="str">
        <f t="shared" ref="L54:L96" si="98">IF(K53&gt;$C$3+$C$4,"",$B$7)</f>
        <v/>
      </c>
      <c r="M54" s="3" t="str">
        <f t="shared" ref="M54:M96" si="99">IF(K53&gt;$C$3+$C$4,"",$B$10)</f>
        <v/>
      </c>
    </row>
    <row r="55" spans="2:13" x14ac:dyDescent="0.25">
      <c r="B55" s="15"/>
      <c r="C55" s="3">
        <v>27</v>
      </c>
      <c r="D55" s="3" t="s">
        <v>27</v>
      </c>
      <c r="E55" s="3" t="str">
        <f>IF(K54&gt;$C$3+$C$4,"",Tableau1469[[#This Row],[cumul_temps]]/60)</f>
        <v/>
      </c>
      <c r="F55" s="3" t="str">
        <f t="shared" ref="F55" si="100">IF(K54&gt;$C$3+$C$4,"",60*$B$13)</f>
        <v/>
      </c>
      <c r="G55" s="3" t="str">
        <f t="shared" ref="G55" si="101">IF(K54&gt;$C$3+$C$4,"",G53+1)</f>
        <v/>
      </c>
      <c r="H55" s="13" t="str">
        <f t="shared" ref="H55" si="102">IF(K54&gt;$C$3+$C$4,"",(K54-$G$26)/$C$4)</f>
        <v/>
      </c>
      <c r="I55" s="13" t="str">
        <f>IF(K54&gt;$C$3+$C$4,"",ROUND(IF(Tableau1469[[#This Row],[Temps_Ref]]&gt;0,($F$13*Tableau1469[[#This Row],[Temps_Ref]]^4+$G$13*Tableau1469[[#This Row],[Temps_Ref]]^3+$H$13*Tableau1469[[#This Row],[Temps_Ref]]^2+$I$13)/$J$13,0),1))</f>
        <v/>
      </c>
      <c r="J55" s="3" t="str">
        <f>IF(K54&gt;$C$3+$C$4,"",Tableau1469[[#This Row],[duree_standard]]*Tableau1469[[#This Row],[Correction_DuréeEffortIntense]])</f>
        <v/>
      </c>
      <c r="K55" s="3">
        <f>IF(K54&lt;($B$3+$B$4)*60,K54+Tableau1469[[#This Row],[Durée_Corrigée]],K54)</f>
        <v>1446</v>
      </c>
      <c r="L55" s="3" t="str">
        <f t="shared" ref="L55:L96" si="103">IF(K54&gt;$C$3+$C$4,"",$B$8)</f>
        <v/>
      </c>
      <c r="M55" s="3" t="str">
        <f t="shared" ref="M55:M96" si="104">IF(K54&gt;$C$3+$C$4,"",$B$11)</f>
        <v/>
      </c>
    </row>
    <row r="56" spans="2:13" x14ac:dyDescent="0.25">
      <c r="B56" s="15"/>
      <c r="C56" s="3">
        <v>28</v>
      </c>
      <c r="D56" s="3" t="s">
        <v>7</v>
      </c>
      <c r="E56" s="3" t="str">
        <f>IF(K55&gt;$C$3+$C$4,"",Tableau1469[[#This Row],[cumul_temps]]/60)</f>
        <v/>
      </c>
      <c r="F56" s="3" t="str">
        <f t="shared" ref="F56" si="105">IF(K55&gt;$C$3+$C$4,"",60*$B$14)</f>
        <v/>
      </c>
      <c r="H56" s="13"/>
      <c r="I56" s="13"/>
      <c r="J56" s="13"/>
      <c r="K56" s="3">
        <f>IF(K55&lt;($B$3+$B$4)*60,K55+Tableau1469[[#This Row],[duree_standard]],K55)</f>
        <v>1446</v>
      </c>
      <c r="L56" s="3" t="str">
        <f t="shared" ref="L56:L96" si="106">IF(K55&gt;$C$3+$C$4,"",$B$7)</f>
        <v/>
      </c>
      <c r="M56" s="3" t="str">
        <f t="shared" ref="M56:M96" si="107">IF(K55&gt;$C$3+$C$4,"",$B$10)</f>
        <v/>
      </c>
    </row>
    <row r="57" spans="2:13" x14ac:dyDescent="0.25">
      <c r="B57" s="15"/>
      <c r="C57" s="3">
        <v>29</v>
      </c>
      <c r="D57" s="3" t="s">
        <v>27</v>
      </c>
      <c r="E57" s="3" t="str">
        <f>IF(K56&gt;$C$3+$C$4,"",Tableau1469[[#This Row],[cumul_temps]]/60)</f>
        <v/>
      </c>
      <c r="F57" s="3" t="str">
        <f t="shared" ref="F57" si="108">IF(K56&gt;$C$3+$C$4,"",60*$B$13)</f>
        <v/>
      </c>
      <c r="G57" s="3" t="str">
        <f t="shared" ref="G57" si="109">IF(K56&gt;$C$3+$C$4,"",G55+1)</f>
        <v/>
      </c>
      <c r="H57" s="13" t="str">
        <f t="shared" ref="H57" si="110">IF(K56&gt;$C$3+$C$4,"",(K56-$G$26)/$C$4)</f>
        <v/>
      </c>
      <c r="I57" s="13" t="str">
        <f>IF(K56&gt;$C$3+$C$4,"",ROUND(IF(Tableau1469[[#This Row],[Temps_Ref]]&gt;0,($F$13*Tableau1469[[#This Row],[Temps_Ref]]^4+$G$13*Tableau1469[[#This Row],[Temps_Ref]]^3+$H$13*Tableau1469[[#This Row],[Temps_Ref]]^2+$I$13)/$J$13,0),1))</f>
        <v/>
      </c>
      <c r="J57" s="3" t="str">
        <f>IF(K56&gt;$C$3+$C$4,"",Tableau1469[[#This Row],[duree_standard]]*Tableau1469[[#This Row],[Correction_DuréeEffortIntense]])</f>
        <v/>
      </c>
      <c r="K57" s="3">
        <f>IF(K56&lt;($B$3+$B$4)*60,K56+Tableau1469[[#This Row],[Durée_Corrigée]],K56)</f>
        <v>1446</v>
      </c>
      <c r="L57" s="3" t="str">
        <f t="shared" ref="L57:L96" si="111">IF(K56&gt;$C$3+$C$4,"",$B$8)</f>
        <v/>
      </c>
      <c r="M57" s="3" t="str">
        <f t="shared" ref="M57:M96" si="112">IF(K56&gt;$C$3+$C$4,"",$B$11)</f>
        <v/>
      </c>
    </row>
    <row r="58" spans="2:13" x14ac:dyDescent="0.25">
      <c r="B58" s="15"/>
      <c r="C58" s="3">
        <v>30</v>
      </c>
      <c r="D58" s="3" t="s">
        <v>7</v>
      </c>
      <c r="E58" s="3" t="str">
        <f>IF(K57&gt;$C$3+$C$4,"",Tableau1469[[#This Row],[cumul_temps]]/60)</f>
        <v/>
      </c>
      <c r="F58" s="3" t="str">
        <f t="shared" ref="F58" si="113">IF(K57&gt;$C$3+$C$4,"",60*$B$14)</f>
        <v/>
      </c>
      <c r="H58" s="13"/>
      <c r="I58" s="13"/>
      <c r="J58" s="13"/>
      <c r="K58" s="3">
        <f>IF(K57&lt;($B$3+$B$4)*60,K57+Tableau1469[[#This Row],[duree_standard]],K57)</f>
        <v>1446</v>
      </c>
      <c r="L58" s="3" t="str">
        <f t="shared" ref="L58:L96" si="114">IF(K57&gt;$C$3+$C$4,"",$B$7)</f>
        <v/>
      </c>
      <c r="M58" s="3" t="str">
        <f t="shared" ref="M58:M96" si="115">IF(K57&gt;$C$3+$C$4,"",$B$10)</f>
        <v/>
      </c>
    </row>
    <row r="59" spans="2:13" x14ac:dyDescent="0.25">
      <c r="B59" s="15"/>
      <c r="C59" s="3">
        <v>31</v>
      </c>
      <c r="D59" s="3" t="s">
        <v>27</v>
      </c>
      <c r="E59" s="3" t="str">
        <f>IF(K58&gt;$C$3+$C$4,"",Tableau1469[[#This Row],[cumul_temps]]/60)</f>
        <v/>
      </c>
      <c r="F59" s="3" t="str">
        <f t="shared" ref="F59" si="116">IF(K58&gt;$C$3+$C$4,"",60*$B$13)</f>
        <v/>
      </c>
      <c r="G59" s="3" t="str">
        <f t="shared" ref="G59" si="117">IF(K58&gt;$C$3+$C$4,"",G57+1)</f>
        <v/>
      </c>
      <c r="H59" s="13" t="str">
        <f t="shared" ref="H59" si="118">IF(K58&gt;$C$3+$C$4,"",(K58-$G$26)/$C$4)</f>
        <v/>
      </c>
      <c r="I59" s="13" t="str">
        <f>IF(K58&gt;$C$3+$C$4,"",ROUND(IF(Tableau1469[[#This Row],[Temps_Ref]]&gt;0,($F$13*Tableau1469[[#This Row],[Temps_Ref]]^4+$G$13*Tableau1469[[#This Row],[Temps_Ref]]^3+$H$13*Tableau1469[[#This Row],[Temps_Ref]]^2+$I$13)/$J$13,0),1))</f>
        <v/>
      </c>
      <c r="J59" s="3" t="str">
        <f>IF(K58&gt;$C$3+$C$4,"",Tableau1469[[#This Row],[duree_standard]]*Tableau1469[[#This Row],[Correction_DuréeEffortIntense]])</f>
        <v/>
      </c>
      <c r="K59" s="3">
        <f>IF(K58&lt;($B$3+$B$4)*60,K58+Tableau1469[[#This Row],[Durée_Corrigée]],K58)</f>
        <v>1446</v>
      </c>
      <c r="L59" s="3" t="str">
        <f t="shared" ref="L59:L96" si="119">IF(K58&gt;$C$3+$C$4,"",$B$8)</f>
        <v/>
      </c>
      <c r="M59" s="3" t="str">
        <f t="shared" ref="M59:M96" si="120">IF(K58&gt;$C$3+$C$4,"",$B$11)</f>
        <v/>
      </c>
    </row>
    <row r="60" spans="2:13" x14ac:dyDescent="0.25">
      <c r="B60" s="15"/>
      <c r="C60" s="3">
        <v>32</v>
      </c>
      <c r="D60" s="3" t="s">
        <v>7</v>
      </c>
      <c r="E60" s="3" t="str">
        <f>IF(K59&gt;$C$3+$C$4,"",Tableau1469[[#This Row],[cumul_temps]]/60)</f>
        <v/>
      </c>
      <c r="F60" s="3" t="str">
        <f t="shared" ref="F60" si="121">IF(K59&gt;$C$3+$C$4,"",60*$B$14)</f>
        <v/>
      </c>
      <c r="H60" s="13"/>
      <c r="I60" s="13"/>
      <c r="J60" s="13"/>
      <c r="K60" s="3">
        <f>IF(K59&lt;($B$3+$B$4)*60,K59+Tableau1469[[#This Row],[duree_standard]],K59)</f>
        <v>1446</v>
      </c>
      <c r="L60" s="3" t="str">
        <f t="shared" ref="L60:L96" si="122">IF(K59&gt;$C$3+$C$4,"",$B$7)</f>
        <v/>
      </c>
      <c r="M60" s="3" t="str">
        <f t="shared" ref="M60:M96" si="123">IF(K59&gt;$C$3+$C$4,"",$B$10)</f>
        <v/>
      </c>
    </row>
    <row r="61" spans="2:13" x14ac:dyDescent="0.25">
      <c r="B61" s="15"/>
      <c r="C61" s="3">
        <v>33</v>
      </c>
      <c r="D61" s="3" t="s">
        <v>27</v>
      </c>
      <c r="E61" s="3" t="str">
        <f>IF(K60&gt;$C$3+$C$4,"",Tableau1469[[#This Row],[cumul_temps]]/60)</f>
        <v/>
      </c>
      <c r="F61" s="3" t="str">
        <f t="shared" ref="F61" si="124">IF(K60&gt;$C$3+$C$4,"",60*$B$13)</f>
        <v/>
      </c>
      <c r="G61" s="3" t="str">
        <f t="shared" ref="G61" si="125">IF(K60&gt;$C$3+$C$4,"",G59+1)</f>
        <v/>
      </c>
      <c r="H61" s="13" t="str">
        <f t="shared" ref="H61" si="126">IF(K60&gt;$C$3+$C$4,"",(K60-$G$26)/$C$4)</f>
        <v/>
      </c>
      <c r="I61" s="13" t="str">
        <f>IF(K60&gt;$C$3+$C$4,"",ROUND(IF(Tableau1469[[#This Row],[Temps_Ref]]&gt;0,($F$13*Tableau1469[[#This Row],[Temps_Ref]]^4+$G$13*Tableau1469[[#This Row],[Temps_Ref]]^3+$H$13*Tableau1469[[#This Row],[Temps_Ref]]^2+$I$13)/$J$13,0),1))</f>
        <v/>
      </c>
      <c r="J61" s="3" t="str">
        <f>IF(K60&gt;$C$3+$C$4,"",Tableau1469[[#This Row],[duree_standard]]*Tableau1469[[#This Row],[Correction_DuréeEffortIntense]])</f>
        <v/>
      </c>
      <c r="K61" s="3">
        <f>IF(K60&lt;($B$3+$B$4)*60,K60+Tableau1469[[#This Row],[Durée_Corrigée]],K60)</f>
        <v>1446</v>
      </c>
      <c r="L61" s="3" t="str">
        <f t="shared" ref="L61:L96" si="127">IF(K60&gt;$C$3+$C$4,"",$B$8)</f>
        <v/>
      </c>
      <c r="M61" s="3" t="str">
        <f t="shared" ref="M61:M96" si="128">IF(K60&gt;$C$3+$C$4,"",$B$11)</f>
        <v/>
      </c>
    </row>
    <row r="62" spans="2:13" x14ac:dyDescent="0.25">
      <c r="B62" s="15"/>
      <c r="C62" s="3">
        <v>34</v>
      </c>
      <c r="D62" s="3" t="s">
        <v>7</v>
      </c>
      <c r="E62" s="3" t="str">
        <f>IF(K61&gt;$C$3+$C$4,"",Tableau1469[[#This Row],[cumul_temps]]/60)</f>
        <v/>
      </c>
      <c r="F62" s="3" t="str">
        <f t="shared" ref="F62" si="129">IF(K61&gt;$C$3+$C$4,"",60*$B$14)</f>
        <v/>
      </c>
      <c r="H62" s="13"/>
      <c r="I62" s="13"/>
      <c r="J62" s="13"/>
      <c r="K62" s="3">
        <f>IF(K61&lt;($B$3+$B$4)*60,K61+Tableau1469[[#This Row],[duree_standard]],K61)</f>
        <v>1446</v>
      </c>
      <c r="L62" s="3" t="str">
        <f t="shared" ref="L62:L96" si="130">IF(K61&gt;$C$3+$C$4,"",$B$7)</f>
        <v/>
      </c>
      <c r="M62" s="3" t="str">
        <f t="shared" ref="M62:M96" si="131">IF(K61&gt;$C$3+$C$4,"",$B$10)</f>
        <v/>
      </c>
    </row>
    <row r="63" spans="2:13" x14ac:dyDescent="0.25">
      <c r="B63" s="15"/>
      <c r="C63" s="3">
        <v>35</v>
      </c>
      <c r="D63" s="3" t="s">
        <v>27</v>
      </c>
      <c r="E63" s="3" t="str">
        <f>IF(K62&gt;$C$3+$C$4,"",Tableau1469[[#This Row],[cumul_temps]]/60)</f>
        <v/>
      </c>
      <c r="F63" s="3" t="str">
        <f t="shared" ref="F63" si="132">IF(K62&gt;$C$3+$C$4,"",60*$B$13)</f>
        <v/>
      </c>
      <c r="G63" s="3" t="str">
        <f t="shared" ref="G63" si="133">IF(K62&gt;$C$3+$C$4,"",G61+1)</f>
        <v/>
      </c>
      <c r="H63" s="13" t="str">
        <f t="shared" ref="H63" si="134">IF(K62&gt;$C$3+$C$4,"",(K62-$G$26)/$C$4)</f>
        <v/>
      </c>
      <c r="I63" s="13" t="str">
        <f>IF(K62&gt;$C$3+$C$4,"",ROUND(IF(Tableau1469[[#This Row],[Temps_Ref]]&gt;0,($F$13*Tableau1469[[#This Row],[Temps_Ref]]^4+$G$13*Tableau1469[[#This Row],[Temps_Ref]]^3+$H$13*Tableau1469[[#This Row],[Temps_Ref]]^2+$I$13)/$J$13,0),1))</f>
        <v/>
      </c>
      <c r="J63" s="3" t="str">
        <f>IF(K62&gt;$C$3+$C$4,"",Tableau1469[[#This Row],[duree_standard]]*Tableau1469[[#This Row],[Correction_DuréeEffortIntense]])</f>
        <v/>
      </c>
      <c r="K63" s="3">
        <f>IF(K62&lt;($B$3+$B$4)*60,K62+Tableau1469[[#This Row],[Durée_Corrigée]],K62)</f>
        <v>1446</v>
      </c>
      <c r="L63" s="3" t="str">
        <f t="shared" ref="L63:L96" si="135">IF(K62&gt;$C$3+$C$4,"",$B$8)</f>
        <v/>
      </c>
      <c r="M63" s="3" t="str">
        <f t="shared" ref="M63:M96" si="136">IF(K62&gt;$C$3+$C$4,"",$B$11)</f>
        <v/>
      </c>
    </row>
    <row r="64" spans="2:13" x14ac:dyDescent="0.25">
      <c r="B64" s="15"/>
      <c r="C64" s="3">
        <v>36</v>
      </c>
      <c r="D64" s="3" t="s">
        <v>7</v>
      </c>
      <c r="E64" s="3" t="str">
        <f>IF(K63&gt;$C$3+$C$4,"",Tableau1469[[#This Row],[cumul_temps]]/60)</f>
        <v/>
      </c>
      <c r="F64" s="3" t="str">
        <f t="shared" ref="F64" si="137">IF(K63&gt;$C$3+$C$4,"",60*$B$14)</f>
        <v/>
      </c>
      <c r="H64" s="13"/>
      <c r="I64" s="13"/>
      <c r="J64" s="13"/>
      <c r="K64" s="3">
        <f>IF(K63&lt;($B$3+$B$4)*60,K63+Tableau1469[[#This Row],[duree_standard]],K63)</f>
        <v>1446</v>
      </c>
      <c r="L64" s="3" t="str">
        <f t="shared" ref="L64:L96" si="138">IF(K63&gt;$C$3+$C$4,"",$B$7)</f>
        <v/>
      </c>
      <c r="M64" s="3" t="str">
        <f t="shared" ref="M64:M96" si="139">IF(K63&gt;$C$3+$C$4,"",$B$10)</f>
        <v/>
      </c>
    </row>
    <row r="65" spans="2:13" x14ac:dyDescent="0.25">
      <c r="B65" s="15"/>
      <c r="C65" s="3">
        <v>37</v>
      </c>
      <c r="D65" s="3" t="s">
        <v>27</v>
      </c>
      <c r="E65" s="3" t="str">
        <f>IF(K64&gt;$C$3+$C$4,"",Tableau1469[[#This Row],[cumul_temps]]/60)</f>
        <v/>
      </c>
      <c r="F65" s="3" t="str">
        <f t="shared" ref="F65" si="140">IF(K64&gt;$C$3+$C$4,"",60*$B$13)</f>
        <v/>
      </c>
      <c r="G65" s="3" t="str">
        <f t="shared" ref="G65" si="141">IF(K64&gt;$C$3+$C$4,"",G63+1)</f>
        <v/>
      </c>
      <c r="H65" s="13" t="str">
        <f t="shared" ref="H65" si="142">IF(K64&gt;$C$3+$C$4,"",(K64-$G$26)/$C$4)</f>
        <v/>
      </c>
      <c r="I65" s="13" t="str">
        <f>IF(K64&gt;$C$3+$C$4,"",ROUND(IF(Tableau1469[[#This Row],[Temps_Ref]]&gt;0,($F$13*Tableau1469[[#This Row],[Temps_Ref]]^4+$G$13*Tableau1469[[#This Row],[Temps_Ref]]^3+$H$13*Tableau1469[[#This Row],[Temps_Ref]]^2+$I$13)/$J$13,0),1))</f>
        <v/>
      </c>
      <c r="J65" s="3" t="str">
        <f>IF(K64&gt;$C$3+$C$4,"",Tableau1469[[#This Row],[duree_standard]]*Tableau1469[[#This Row],[Correction_DuréeEffortIntense]])</f>
        <v/>
      </c>
      <c r="K65" s="3">
        <f>IF(K64&lt;($B$3+$B$4)*60,K64+Tableau1469[[#This Row],[Durée_Corrigée]],K64)</f>
        <v>1446</v>
      </c>
      <c r="L65" s="3" t="str">
        <f t="shared" ref="L65:L96" si="143">IF(K64&gt;$C$3+$C$4,"",$B$8)</f>
        <v/>
      </c>
      <c r="M65" s="3" t="str">
        <f t="shared" ref="M65:M96" si="144">IF(K64&gt;$C$3+$C$4,"",$B$11)</f>
        <v/>
      </c>
    </row>
    <row r="66" spans="2:13" x14ac:dyDescent="0.25">
      <c r="B66" s="15"/>
      <c r="C66" s="3">
        <v>38</v>
      </c>
      <c r="D66" s="3" t="s">
        <v>7</v>
      </c>
      <c r="E66" s="3" t="str">
        <f>IF(K65&gt;$C$3+$C$4,"",Tableau1469[[#This Row],[cumul_temps]]/60)</f>
        <v/>
      </c>
      <c r="F66" s="3" t="str">
        <f t="shared" ref="F66" si="145">IF(K65&gt;$C$3+$C$4,"",60*$B$14)</f>
        <v/>
      </c>
      <c r="H66" s="13"/>
      <c r="I66" s="13"/>
      <c r="J66" s="13"/>
      <c r="K66" s="3">
        <f>IF(K65&lt;($B$3+$B$4)*60,K65+Tableau1469[[#This Row],[duree_standard]],K65)</f>
        <v>1446</v>
      </c>
      <c r="L66" s="3" t="str">
        <f t="shared" ref="L66:L96" si="146">IF(K65&gt;$C$3+$C$4,"",$B$7)</f>
        <v/>
      </c>
      <c r="M66" s="3" t="str">
        <f t="shared" ref="M66:M96" si="147">IF(K65&gt;$C$3+$C$4,"",$B$10)</f>
        <v/>
      </c>
    </row>
    <row r="67" spans="2:13" x14ac:dyDescent="0.25">
      <c r="B67" s="15"/>
      <c r="C67" s="3">
        <v>39</v>
      </c>
      <c r="D67" s="3" t="s">
        <v>27</v>
      </c>
      <c r="E67" s="3" t="str">
        <f>IF(K66&gt;$C$3+$C$4,"",Tableau1469[[#This Row],[cumul_temps]]/60)</f>
        <v/>
      </c>
      <c r="F67" s="3" t="str">
        <f t="shared" ref="F67" si="148">IF(K66&gt;$C$3+$C$4,"",60*$B$13)</f>
        <v/>
      </c>
      <c r="G67" s="3" t="str">
        <f t="shared" ref="G67" si="149">IF(K66&gt;$C$3+$C$4,"",G65+1)</f>
        <v/>
      </c>
      <c r="H67" s="13" t="str">
        <f t="shared" ref="H67" si="150">IF(K66&gt;$C$3+$C$4,"",(K66-$G$26)/$C$4)</f>
        <v/>
      </c>
      <c r="I67" s="13" t="str">
        <f>IF(K66&gt;$C$3+$C$4,"",ROUND(IF(Tableau1469[[#This Row],[Temps_Ref]]&gt;0,($F$13*Tableau1469[[#This Row],[Temps_Ref]]^4+$G$13*Tableau1469[[#This Row],[Temps_Ref]]^3+$H$13*Tableau1469[[#This Row],[Temps_Ref]]^2+$I$13)/$J$13,0),1))</f>
        <v/>
      </c>
      <c r="J67" s="3" t="str">
        <f>IF(K66&gt;$C$3+$C$4,"",Tableau1469[[#This Row],[duree_standard]]*Tableau1469[[#This Row],[Correction_DuréeEffortIntense]])</f>
        <v/>
      </c>
      <c r="K67" s="3">
        <f>IF(K66&lt;($B$3+$B$4)*60,K66+Tableau1469[[#This Row],[Durée_Corrigée]],K66)</f>
        <v>1446</v>
      </c>
      <c r="L67" s="3" t="str">
        <f t="shared" ref="L67:L96" si="151">IF(K66&gt;$C$3+$C$4,"",$B$8)</f>
        <v/>
      </c>
      <c r="M67" s="3" t="str">
        <f t="shared" ref="M67:M96" si="152">IF(K66&gt;$C$3+$C$4,"",$B$11)</f>
        <v/>
      </c>
    </row>
    <row r="68" spans="2:13" x14ac:dyDescent="0.25">
      <c r="B68" s="15"/>
      <c r="C68" s="3">
        <v>40</v>
      </c>
      <c r="D68" s="3" t="s">
        <v>7</v>
      </c>
      <c r="E68" s="3" t="str">
        <f>IF(K67&gt;$C$3+$C$4,"",Tableau1469[[#This Row],[cumul_temps]]/60)</f>
        <v/>
      </c>
      <c r="F68" s="3" t="str">
        <f t="shared" ref="F68" si="153">IF(K67&gt;$C$3+$C$4,"",60*$B$14)</f>
        <v/>
      </c>
      <c r="H68" s="13"/>
      <c r="I68" s="13"/>
      <c r="J68" s="13"/>
      <c r="K68" s="3">
        <f>IF(K67&lt;($B$3+$B$4)*60,K67+Tableau1469[[#This Row],[duree_standard]],K67)</f>
        <v>1446</v>
      </c>
      <c r="L68" s="3" t="str">
        <f t="shared" ref="L68:L96" si="154">IF(K67&gt;$C$3+$C$4,"",$B$7)</f>
        <v/>
      </c>
      <c r="M68" s="3" t="str">
        <f t="shared" ref="M68:M96" si="155">IF(K67&gt;$C$3+$C$4,"",$B$10)</f>
        <v/>
      </c>
    </row>
    <row r="69" spans="2:13" x14ac:dyDescent="0.25">
      <c r="B69" s="15"/>
      <c r="C69" s="3">
        <v>41</v>
      </c>
      <c r="D69" s="3" t="s">
        <v>27</v>
      </c>
      <c r="E69" s="3" t="str">
        <f>IF(K68&gt;$C$3+$C$4,"",Tableau1469[[#This Row],[cumul_temps]]/60)</f>
        <v/>
      </c>
      <c r="F69" s="3" t="str">
        <f t="shared" ref="F69" si="156">IF(K68&gt;$C$3+$C$4,"",60*$B$13)</f>
        <v/>
      </c>
      <c r="G69" s="3" t="str">
        <f t="shared" ref="G69" si="157">IF(K68&gt;$C$3+$C$4,"",G67+1)</f>
        <v/>
      </c>
      <c r="H69" s="13" t="str">
        <f t="shared" ref="H69" si="158">IF(K68&gt;$C$3+$C$4,"",(K68-$G$26)/$C$4)</f>
        <v/>
      </c>
      <c r="I69" s="13" t="str">
        <f>IF(K68&gt;$C$3+$C$4,"",ROUND(IF(Tableau1469[[#This Row],[Temps_Ref]]&gt;0,($F$13*Tableau1469[[#This Row],[Temps_Ref]]^4+$G$13*Tableau1469[[#This Row],[Temps_Ref]]^3+$H$13*Tableau1469[[#This Row],[Temps_Ref]]^2+$I$13)/$J$13,0),1))</f>
        <v/>
      </c>
      <c r="J69" s="3" t="str">
        <f>IF(K68&gt;$C$3+$C$4,"",Tableau1469[[#This Row],[duree_standard]]*Tableau1469[[#This Row],[Correction_DuréeEffortIntense]])</f>
        <v/>
      </c>
      <c r="K69" s="3">
        <f>IF(K68&lt;($B$3+$B$4)*60,K68+Tableau1469[[#This Row],[Durée_Corrigée]],K68)</f>
        <v>1446</v>
      </c>
      <c r="L69" s="3" t="str">
        <f t="shared" ref="L69:L96" si="159">IF(K68&gt;$C$3+$C$4,"",$B$8)</f>
        <v/>
      </c>
      <c r="M69" s="3" t="str">
        <f t="shared" ref="M69:M96" si="160">IF(K68&gt;$C$3+$C$4,"",$B$11)</f>
        <v/>
      </c>
    </row>
    <row r="70" spans="2:13" x14ac:dyDescent="0.25">
      <c r="B70" s="15"/>
      <c r="C70" s="3">
        <v>42</v>
      </c>
      <c r="D70" s="3" t="s">
        <v>7</v>
      </c>
      <c r="E70" s="3" t="str">
        <f>IF(K69&gt;$C$3+$C$4,"",Tableau1469[[#This Row],[cumul_temps]]/60)</f>
        <v/>
      </c>
      <c r="F70" s="3" t="str">
        <f t="shared" ref="F70" si="161">IF(K69&gt;$C$3+$C$4,"",60*$B$14)</f>
        <v/>
      </c>
      <c r="H70" s="13"/>
      <c r="I70" s="13"/>
      <c r="J70" s="13"/>
      <c r="K70" s="3">
        <f>IF(K69&lt;($B$3+$B$4)*60,K69+Tableau1469[[#This Row],[duree_standard]],K69)</f>
        <v>1446</v>
      </c>
      <c r="L70" s="3" t="str">
        <f t="shared" ref="L70:L96" si="162">IF(K69&gt;$C$3+$C$4,"",$B$7)</f>
        <v/>
      </c>
      <c r="M70" s="3" t="str">
        <f t="shared" ref="M70:M96" si="163">IF(K69&gt;$C$3+$C$4,"",$B$10)</f>
        <v/>
      </c>
    </row>
    <row r="71" spans="2:13" x14ac:dyDescent="0.25">
      <c r="B71" s="15"/>
      <c r="C71" s="3">
        <v>43</v>
      </c>
      <c r="D71" s="3" t="s">
        <v>27</v>
      </c>
      <c r="E71" s="3" t="str">
        <f>IF(K70&gt;$C$3+$C$4,"",Tableau1469[[#This Row],[cumul_temps]]/60)</f>
        <v/>
      </c>
      <c r="F71" s="3" t="str">
        <f t="shared" ref="F71" si="164">IF(K70&gt;$C$3+$C$4,"",60*$B$13)</f>
        <v/>
      </c>
      <c r="G71" s="3" t="str">
        <f t="shared" ref="G71" si="165">IF(K70&gt;$C$3+$C$4,"",G69+1)</f>
        <v/>
      </c>
      <c r="H71" s="13" t="str">
        <f t="shared" ref="H71" si="166">IF(K70&gt;$C$3+$C$4,"",(K70-$G$26)/$C$4)</f>
        <v/>
      </c>
      <c r="I71" s="13" t="str">
        <f>IF(K70&gt;$C$3+$C$4,"",ROUND(IF(Tableau1469[[#This Row],[Temps_Ref]]&gt;0,($F$13*Tableau1469[[#This Row],[Temps_Ref]]^4+$G$13*Tableau1469[[#This Row],[Temps_Ref]]^3+$H$13*Tableau1469[[#This Row],[Temps_Ref]]^2+$I$13)/$J$13,0),1))</f>
        <v/>
      </c>
      <c r="J71" s="3" t="str">
        <f>IF(K70&gt;$C$3+$C$4,"",Tableau1469[[#This Row],[duree_standard]]*Tableau1469[[#This Row],[Correction_DuréeEffortIntense]])</f>
        <v/>
      </c>
      <c r="K71" s="3">
        <f>IF(K70&lt;($B$3+$B$4)*60,K70+Tableau1469[[#This Row],[Durée_Corrigée]],K70)</f>
        <v>1446</v>
      </c>
      <c r="L71" s="3" t="str">
        <f t="shared" ref="L71:L96" si="167">IF(K70&gt;$C$3+$C$4,"",$B$8)</f>
        <v/>
      </c>
      <c r="M71" s="3" t="str">
        <f t="shared" ref="M71:M96" si="168">IF(K70&gt;$C$3+$C$4,"",$B$11)</f>
        <v/>
      </c>
    </row>
    <row r="72" spans="2:13" x14ac:dyDescent="0.25">
      <c r="B72" s="15"/>
      <c r="C72" s="3">
        <v>44</v>
      </c>
      <c r="D72" s="3" t="s">
        <v>7</v>
      </c>
      <c r="E72" s="3" t="str">
        <f>IF(K71&gt;$C$3+$C$4,"",Tableau1469[[#This Row],[cumul_temps]]/60)</f>
        <v/>
      </c>
      <c r="F72" s="3" t="str">
        <f t="shared" ref="F72" si="169">IF(K71&gt;$C$3+$C$4,"",60*$B$14)</f>
        <v/>
      </c>
      <c r="H72" s="13"/>
      <c r="I72" s="13"/>
      <c r="J72" s="13"/>
      <c r="K72" s="3">
        <f>IF(K71&lt;($B$3+$B$4)*60,K71+Tableau1469[[#This Row],[duree_standard]],K71)</f>
        <v>1446</v>
      </c>
      <c r="L72" s="3" t="str">
        <f t="shared" ref="L72:L96" si="170">IF(K71&gt;$C$3+$C$4,"",$B$7)</f>
        <v/>
      </c>
      <c r="M72" s="3" t="str">
        <f t="shared" ref="M72:M96" si="171">IF(K71&gt;$C$3+$C$4,"",$B$10)</f>
        <v/>
      </c>
    </row>
    <row r="73" spans="2:13" x14ac:dyDescent="0.25">
      <c r="B73" s="15"/>
      <c r="C73" s="3">
        <v>45</v>
      </c>
      <c r="D73" s="3" t="s">
        <v>27</v>
      </c>
      <c r="E73" s="3" t="str">
        <f>IF(K72&gt;$C$3+$C$4,"",Tableau1469[[#This Row],[cumul_temps]]/60)</f>
        <v/>
      </c>
      <c r="F73" s="3" t="str">
        <f t="shared" ref="F73" si="172">IF(K72&gt;$C$3+$C$4,"",60*$B$13)</f>
        <v/>
      </c>
      <c r="G73" s="3" t="str">
        <f t="shared" ref="G73" si="173">IF(K72&gt;$C$3+$C$4,"",G71+1)</f>
        <v/>
      </c>
      <c r="H73" s="13" t="str">
        <f t="shared" ref="H73" si="174">IF(K72&gt;$C$3+$C$4,"",(K72-$G$26)/$C$4)</f>
        <v/>
      </c>
      <c r="I73" s="13" t="str">
        <f>IF(K72&gt;$C$3+$C$4,"",ROUND(IF(Tableau1469[[#This Row],[Temps_Ref]]&gt;0,($F$13*Tableau1469[[#This Row],[Temps_Ref]]^4+$G$13*Tableau1469[[#This Row],[Temps_Ref]]^3+$H$13*Tableau1469[[#This Row],[Temps_Ref]]^2+$I$13)/$J$13,0),1))</f>
        <v/>
      </c>
      <c r="J73" s="3" t="str">
        <f>IF(K72&gt;$C$3+$C$4,"",Tableau1469[[#This Row],[duree_standard]]*Tableau1469[[#This Row],[Correction_DuréeEffortIntense]])</f>
        <v/>
      </c>
      <c r="K73" s="3">
        <f>IF(K72&lt;($B$3+$B$4)*60,K72+Tableau1469[[#This Row],[Durée_Corrigée]],K72)</f>
        <v>1446</v>
      </c>
      <c r="L73" s="3" t="str">
        <f t="shared" ref="L73:L96" si="175">IF(K72&gt;$C$3+$C$4,"",$B$8)</f>
        <v/>
      </c>
      <c r="M73" s="3" t="str">
        <f t="shared" ref="M73:M96" si="176">IF(K72&gt;$C$3+$C$4,"",$B$11)</f>
        <v/>
      </c>
    </row>
    <row r="74" spans="2:13" x14ac:dyDescent="0.25">
      <c r="B74" s="15"/>
      <c r="C74" s="3">
        <v>46</v>
      </c>
      <c r="D74" s="3" t="s">
        <v>7</v>
      </c>
      <c r="E74" s="3" t="str">
        <f>IF(K73&gt;$C$3+$C$4,"",Tableau1469[[#This Row],[cumul_temps]]/60)</f>
        <v/>
      </c>
      <c r="F74" s="3" t="str">
        <f t="shared" ref="F74:F96" si="177">IF(K73&gt;$C$3+$C$4,"",60*$B$14)</f>
        <v/>
      </c>
      <c r="H74" s="13"/>
      <c r="I74" s="13"/>
      <c r="J74" s="13"/>
      <c r="K74" s="3">
        <f>IF(K73&lt;($B$3+$B$4)*60,K73+Tableau1469[[#This Row],[duree_standard]],K73)</f>
        <v>1446</v>
      </c>
      <c r="L74" s="3" t="str">
        <f t="shared" ref="L74:L96" si="178">IF(K73&gt;$C$3+$C$4,"",$B$7)</f>
        <v/>
      </c>
      <c r="M74" s="3" t="str">
        <f t="shared" ref="M74:M96" si="179">IF(K73&gt;$C$3+$C$4,"",$B$10)</f>
        <v/>
      </c>
    </row>
    <row r="75" spans="2:13" x14ac:dyDescent="0.25">
      <c r="B75" s="15"/>
      <c r="C75" s="3">
        <v>47</v>
      </c>
      <c r="D75" s="3" t="s">
        <v>27</v>
      </c>
      <c r="E75" s="3" t="str">
        <f>IF(K74&gt;$C$3+$C$4,"",Tableau1469[[#This Row],[cumul_temps]]/60)</f>
        <v/>
      </c>
      <c r="F75" s="3" t="str">
        <f t="shared" ref="F75:F96" si="180">IF(K74&gt;$C$3+$C$4,"",60*$B$13)</f>
        <v/>
      </c>
      <c r="G75" s="3" t="str">
        <f t="shared" ref="G75" si="181">IF(K74&gt;$C$3+$C$4,"",G73+1)</f>
        <v/>
      </c>
      <c r="H75" s="13" t="str">
        <f t="shared" ref="H75:H96" si="182">IF(K74&gt;$C$3+$C$4,"",(K74-$G$26)/$C$4)</f>
        <v/>
      </c>
      <c r="I75" s="13" t="str">
        <f>IF(K74&gt;$C$3+$C$4,"",ROUND(IF(Tableau1469[[#This Row],[Temps_Ref]]&gt;0,($F$13*Tableau1469[[#This Row],[Temps_Ref]]^4+$G$13*Tableau1469[[#This Row],[Temps_Ref]]^3+$H$13*Tableau1469[[#This Row],[Temps_Ref]]^2+$I$13)/$J$13,0),1))</f>
        <v/>
      </c>
      <c r="J75" s="3" t="str">
        <f>IF(K74&gt;$C$3+$C$4,"",Tableau1469[[#This Row],[duree_standard]]*Tableau1469[[#This Row],[Correction_DuréeEffortIntense]])</f>
        <v/>
      </c>
      <c r="K75" s="3">
        <f>IF(K74&lt;($B$3+$B$4)*60,K74+Tableau1469[[#This Row],[Durée_Corrigée]],K74)</f>
        <v>1446</v>
      </c>
      <c r="L75" s="3" t="str">
        <f t="shared" ref="L75:L96" si="183">IF(K74&gt;$C$3+$C$4,"",$B$8)</f>
        <v/>
      </c>
      <c r="M75" s="3" t="str">
        <f t="shared" ref="M75:M96" si="184">IF(K74&gt;$C$3+$C$4,"",$B$11)</f>
        <v/>
      </c>
    </row>
    <row r="76" spans="2:13" x14ac:dyDescent="0.25">
      <c r="B76" s="15"/>
      <c r="C76" s="3">
        <v>48</v>
      </c>
      <c r="D76" s="3" t="s">
        <v>7</v>
      </c>
      <c r="E76" s="3" t="str">
        <f>IF(K75&gt;$C$3+$C$4,"",Tableau1469[[#This Row],[cumul_temps]]/60)</f>
        <v/>
      </c>
      <c r="F76" s="3" t="str">
        <f t="shared" ref="F76:F96" si="185">IF(K75&gt;$C$3+$C$4,"",60*$B$14)</f>
        <v/>
      </c>
      <c r="H76" s="13"/>
      <c r="I76" s="13"/>
      <c r="J76" s="13"/>
      <c r="K76" s="3">
        <f>IF(K75&lt;($B$3+$B$4)*60,K75+Tableau1469[[#This Row],[duree_standard]],K75)</f>
        <v>1446</v>
      </c>
      <c r="L76" s="3" t="str">
        <f t="shared" ref="L76:L96" si="186">IF(K75&gt;$C$3+$C$4,"",$B$7)</f>
        <v/>
      </c>
      <c r="M76" s="3" t="str">
        <f t="shared" ref="M76:M96" si="187">IF(K75&gt;$C$3+$C$4,"",$B$10)</f>
        <v/>
      </c>
    </row>
    <row r="77" spans="2:13" x14ac:dyDescent="0.25">
      <c r="B77" s="15"/>
      <c r="C77" s="3">
        <v>49</v>
      </c>
      <c r="D77" s="3" t="s">
        <v>27</v>
      </c>
      <c r="E77" s="3" t="str">
        <f>IF(K76&gt;$C$3+$C$4,"",Tableau1469[[#This Row],[cumul_temps]]/60)</f>
        <v/>
      </c>
      <c r="F77" s="3" t="str">
        <f t="shared" ref="F77:F96" si="188">IF(K76&gt;$C$3+$C$4,"",60*$B$13)</f>
        <v/>
      </c>
      <c r="G77" s="3" t="str">
        <f t="shared" ref="G77" si="189">IF(K76&gt;$C$3+$C$4,"",G75+1)</f>
        <v/>
      </c>
      <c r="H77" s="13" t="str">
        <f t="shared" ref="H77:H96" si="190">IF(K76&gt;$C$3+$C$4,"",(K76-$G$26)/$C$4)</f>
        <v/>
      </c>
      <c r="I77" s="13" t="str">
        <f>IF(K76&gt;$C$3+$C$4,"",ROUND(IF(Tableau1469[[#This Row],[Temps_Ref]]&gt;0,($F$13*Tableau1469[[#This Row],[Temps_Ref]]^4+$G$13*Tableau1469[[#This Row],[Temps_Ref]]^3+$H$13*Tableau1469[[#This Row],[Temps_Ref]]^2+$I$13)/$J$13,0),1))</f>
        <v/>
      </c>
      <c r="J77" s="3" t="str">
        <f>IF(K76&gt;$C$3+$C$4,"",Tableau1469[[#This Row],[duree_standard]]*Tableau1469[[#This Row],[Correction_DuréeEffortIntense]])</f>
        <v/>
      </c>
      <c r="K77" s="3">
        <f>IF(K76&lt;($B$3+$B$4)*60,K76+Tableau1469[[#This Row],[Durée_Corrigée]],K76)</f>
        <v>1446</v>
      </c>
      <c r="L77" s="3" t="str">
        <f t="shared" ref="L77:L96" si="191">IF(K76&gt;$C$3+$C$4,"",$B$8)</f>
        <v/>
      </c>
      <c r="M77" s="3" t="str">
        <f t="shared" ref="M77:M96" si="192">IF(K76&gt;$C$3+$C$4,"",$B$11)</f>
        <v/>
      </c>
    </row>
    <row r="78" spans="2:13" x14ac:dyDescent="0.25">
      <c r="B78" s="15"/>
      <c r="C78" s="3">
        <v>50</v>
      </c>
      <c r="D78" s="3" t="s">
        <v>7</v>
      </c>
      <c r="E78" s="3" t="str">
        <f>IF(K77&gt;$C$3+$C$4,"",Tableau1469[[#This Row],[cumul_temps]]/60)</f>
        <v/>
      </c>
      <c r="F78" s="3" t="str">
        <f t="shared" ref="F78:F96" si="193">IF(K77&gt;$C$3+$C$4,"",60*$B$14)</f>
        <v/>
      </c>
      <c r="H78" s="13"/>
      <c r="I78" s="13"/>
      <c r="J78" s="13"/>
      <c r="K78" s="3">
        <f>IF(K77&lt;($B$3+$B$4)*60,K77+Tableau1469[[#This Row],[duree_standard]],K77)</f>
        <v>1446</v>
      </c>
      <c r="L78" s="3" t="str">
        <f t="shared" ref="L78:L96" si="194">IF(K77&gt;$C$3+$C$4,"",$B$7)</f>
        <v/>
      </c>
      <c r="M78" s="3" t="str">
        <f t="shared" ref="M78:M96" si="195">IF(K77&gt;$C$3+$C$4,"",$B$10)</f>
        <v/>
      </c>
    </row>
    <row r="79" spans="2:13" x14ac:dyDescent="0.25">
      <c r="B79" s="15"/>
      <c r="C79" s="3">
        <v>51</v>
      </c>
      <c r="D79" s="3" t="s">
        <v>27</v>
      </c>
      <c r="E79" s="3" t="str">
        <f>IF(K78&gt;$C$3+$C$4,"",Tableau1469[[#This Row],[cumul_temps]]/60)</f>
        <v/>
      </c>
      <c r="F79" s="3" t="str">
        <f t="shared" ref="F79:F96" si="196">IF(K78&gt;$C$3+$C$4,"",60*$B$13)</f>
        <v/>
      </c>
      <c r="G79" s="3" t="str">
        <f t="shared" ref="G79" si="197">IF(K78&gt;$C$3+$C$4,"",G77+1)</f>
        <v/>
      </c>
      <c r="H79" s="13" t="str">
        <f t="shared" ref="H79:H96" si="198">IF(K78&gt;$C$3+$C$4,"",(K78-$G$26)/$C$4)</f>
        <v/>
      </c>
      <c r="I79" s="13" t="str">
        <f>IF(K78&gt;$C$3+$C$4,"",ROUND(IF(Tableau1469[[#This Row],[Temps_Ref]]&gt;0,($F$13*Tableau1469[[#This Row],[Temps_Ref]]^4+$G$13*Tableau1469[[#This Row],[Temps_Ref]]^3+$H$13*Tableau1469[[#This Row],[Temps_Ref]]^2+$I$13)/$J$13,0),1))</f>
        <v/>
      </c>
      <c r="J79" s="3" t="str">
        <f>IF(K78&gt;$C$3+$C$4,"",Tableau1469[[#This Row],[duree_standard]]*Tableau1469[[#This Row],[Correction_DuréeEffortIntense]])</f>
        <v/>
      </c>
      <c r="K79" s="3">
        <f>IF(K78&lt;($B$3+$B$4)*60,K78+Tableau1469[[#This Row],[Durée_Corrigée]],K78)</f>
        <v>1446</v>
      </c>
      <c r="L79" s="3" t="str">
        <f t="shared" ref="L79:L96" si="199">IF(K78&gt;$C$3+$C$4,"",$B$8)</f>
        <v/>
      </c>
      <c r="M79" s="3" t="str">
        <f t="shared" ref="M79:M96" si="200">IF(K78&gt;$C$3+$C$4,"",$B$11)</f>
        <v/>
      </c>
    </row>
    <row r="80" spans="2:13" x14ac:dyDescent="0.25">
      <c r="B80" s="15"/>
      <c r="C80" s="3">
        <v>52</v>
      </c>
      <c r="D80" s="3" t="s">
        <v>7</v>
      </c>
      <c r="E80" s="3" t="str">
        <f>IF(K79&gt;$C$3+$C$4,"",Tableau1469[[#This Row],[cumul_temps]]/60)</f>
        <v/>
      </c>
      <c r="F80" s="3" t="str">
        <f t="shared" ref="F80:F96" si="201">IF(K79&gt;$C$3+$C$4,"",60*$B$14)</f>
        <v/>
      </c>
      <c r="H80" s="13"/>
      <c r="I80" s="13"/>
      <c r="J80" s="13"/>
      <c r="K80" s="3">
        <f>IF(K79&lt;($B$3+$B$4)*60,K79+Tableau1469[[#This Row],[duree_standard]],K79)</f>
        <v>1446</v>
      </c>
      <c r="L80" s="3" t="str">
        <f t="shared" ref="L80:L96" si="202">IF(K79&gt;$C$3+$C$4,"",$B$7)</f>
        <v/>
      </c>
      <c r="M80" s="3" t="str">
        <f t="shared" ref="M80:M96" si="203">IF(K79&gt;$C$3+$C$4,"",$B$10)</f>
        <v/>
      </c>
    </row>
    <row r="81" spans="2:13" x14ac:dyDescent="0.25">
      <c r="B81" s="15"/>
      <c r="C81" s="3">
        <v>53</v>
      </c>
      <c r="D81" s="3" t="s">
        <v>27</v>
      </c>
      <c r="E81" s="3" t="str">
        <f>IF(K80&gt;$C$3+$C$4,"",Tableau1469[[#This Row],[cumul_temps]]/60)</f>
        <v/>
      </c>
      <c r="F81" s="3" t="str">
        <f t="shared" ref="F81:F96" si="204">IF(K80&gt;$C$3+$C$4,"",60*$B$13)</f>
        <v/>
      </c>
      <c r="G81" s="3" t="str">
        <f t="shared" ref="G81" si="205">IF(K80&gt;$C$3+$C$4,"",G79+1)</f>
        <v/>
      </c>
      <c r="H81" s="13" t="str">
        <f t="shared" ref="H81:H96" si="206">IF(K80&gt;$C$3+$C$4,"",(K80-$G$26)/$C$4)</f>
        <v/>
      </c>
      <c r="I81" s="13" t="str">
        <f>IF(K80&gt;$C$3+$C$4,"",ROUND(IF(Tableau1469[[#This Row],[Temps_Ref]]&gt;0,($F$13*Tableau1469[[#This Row],[Temps_Ref]]^4+$G$13*Tableau1469[[#This Row],[Temps_Ref]]^3+$H$13*Tableau1469[[#This Row],[Temps_Ref]]^2+$I$13)/$J$13,0),1))</f>
        <v/>
      </c>
      <c r="J81" s="3" t="str">
        <f>IF(K80&gt;$C$3+$C$4,"",Tableau1469[[#This Row],[duree_standard]]*Tableau1469[[#This Row],[Correction_DuréeEffortIntense]])</f>
        <v/>
      </c>
      <c r="K81" s="3">
        <f>IF(K80&lt;($B$3+$B$4)*60,K80+Tableau1469[[#This Row],[Durée_Corrigée]],K80)</f>
        <v>1446</v>
      </c>
      <c r="L81" s="3" t="str">
        <f t="shared" ref="L81:L96" si="207">IF(K80&gt;$C$3+$C$4,"",$B$8)</f>
        <v/>
      </c>
      <c r="M81" s="3" t="str">
        <f t="shared" ref="M81:M96" si="208">IF(K80&gt;$C$3+$C$4,"",$B$11)</f>
        <v/>
      </c>
    </row>
    <row r="82" spans="2:13" x14ac:dyDescent="0.25">
      <c r="B82" s="15"/>
      <c r="C82" s="3">
        <v>54</v>
      </c>
      <c r="D82" s="3" t="s">
        <v>7</v>
      </c>
      <c r="E82" s="3" t="str">
        <f>IF(K81&gt;$C$3+$C$4,"",Tableau1469[[#This Row],[cumul_temps]]/60)</f>
        <v/>
      </c>
      <c r="F82" s="3" t="str">
        <f t="shared" ref="F82:F96" si="209">IF(K81&gt;$C$3+$C$4,"",60*$B$14)</f>
        <v/>
      </c>
      <c r="H82" s="13"/>
      <c r="I82" s="13"/>
      <c r="J82" s="13"/>
      <c r="K82" s="3">
        <f>IF(K81&lt;($B$3+$B$4)*60,K81+Tableau1469[[#This Row],[duree_standard]],K81)</f>
        <v>1446</v>
      </c>
      <c r="L82" s="3" t="str">
        <f t="shared" ref="L82:L96" si="210">IF(K81&gt;$C$3+$C$4,"",$B$7)</f>
        <v/>
      </c>
      <c r="M82" s="3" t="str">
        <f t="shared" ref="M82:M96" si="211">IF(K81&gt;$C$3+$C$4,"",$B$10)</f>
        <v/>
      </c>
    </row>
    <row r="83" spans="2:13" x14ac:dyDescent="0.25">
      <c r="B83" s="15"/>
      <c r="C83" s="3">
        <v>55</v>
      </c>
      <c r="D83" s="3" t="s">
        <v>27</v>
      </c>
      <c r="E83" s="3" t="str">
        <f>IF(K82&gt;$C$3+$C$4,"",Tableau1469[[#This Row],[cumul_temps]]/60)</f>
        <v/>
      </c>
      <c r="F83" s="3" t="str">
        <f t="shared" ref="F83:F96" si="212">IF(K82&gt;$C$3+$C$4,"",60*$B$13)</f>
        <v/>
      </c>
      <c r="G83" s="3" t="str">
        <f t="shared" ref="G83" si="213">IF(K82&gt;$C$3+$C$4,"",G81+1)</f>
        <v/>
      </c>
      <c r="H83" s="13" t="str">
        <f t="shared" ref="H83:H96" si="214">IF(K82&gt;$C$3+$C$4,"",(K82-$G$26)/$C$4)</f>
        <v/>
      </c>
      <c r="I83" s="13" t="str">
        <f>IF(K82&gt;$C$3+$C$4,"",ROUND(IF(Tableau1469[[#This Row],[Temps_Ref]]&gt;0,($F$13*Tableau1469[[#This Row],[Temps_Ref]]^4+$G$13*Tableau1469[[#This Row],[Temps_Ref]]^3+$H$13*Tableau1469[[#This Row],[Temps_Ref]]^2+$I$13)/$J$13,0),1))</f>
        <v/>
      </c>
      <c r="J83" s="3" t="str">
        <f>IF(K82&gt;$C$3+$C$4,"",Tableau1469[[#This Row],[duree_standard]]*Tableau1469[[#This Row],[Correction_DuréeEffortIntense]])</f>
        <v/>
      </c>
      <c r="K83" s="3">
        <f>IF(K82&lt;($B$3+$B$4)*60,K82+Tableau1469[[#This Row],[Durée_Corrigée]],K82)</f>
        <v>1446</v>
      </c>
      <c r="L83" s="3" t="str">
        <f t="shared" ref="L83:L96" si="215">IF(K82&gt;$C$3+$C$4,"",$B$8)</f>
        <v/>
      </c>
      <c r="M83" s="3" t="str">
        <f t="shared" ref="M83:M96" si="216">IF(K82&gt;$C$3+$C$4,"",$B$11)</f>
        <v/>
      </c>
    </row>
    <row r="84" spans="2:13" x14ac:dyDescent="0.25">
      <c r="B84" s="15"/>
      <c r="C84" s="3">
        <v>56</v>
      </c>
      <c r="D84" s="3" t="s">
        <v>7</v>
      </c>
      <c r="E84" s="3" t="str">
        <f>IF(K83&gt;$C$3+$C$4,"",Tableau1469[[#This Row],[cumul_temps]]/60)</f>
        <v/>
      </c>
      <c r="F84" s="3" t="str">
        <f t="shared" ref="F84:F96" si="217">IF(K83&gt;$C$3+$C$4,"",60*$B$14)</f>
        <v/>
      </c>
      <c r="H84" s="13"/>
      <c r="I84" s="13"/>
      <c r="J84" s="13"/>
      <c r="K84" s="3">
        <f>IF(K83&lt;($B$3+$B$4)*60,K83+Tableau1469[[#This Row],[duree_standard]],K83)</f>
        <v>1446</v>
      </c>
      <c r="L84" s="3" t="str">
        <f t="shared" ref="L84:L96" si="218">IF(K83&gt;$C$3+$C$4,"",$B$7)</f>
        <v/>
      </c>
      <c r="M84" s="3" t="str">
        <f t="shared" ref="M84:M96" si="219">IF(K83&gt;$C$3+$C$4,"",$B$10)</f>
        <v/>
      </c>
    </row>
    <row r="85" spans="2:13" x14ac:dyDescent="0.25">
      <c r="B85" s="15"/>
      <c r="C85" s="3">
        <v>57</v>
      </c>
      <c r="D85" s="3" t="s">
        <v>27</v>
      </c>
      <c r="E85" s="3" t="str">
        <f>IF(K84&gt;$C$3+$C$4,"",Tableau1469[[#This Row],[cumul_temps]]/60)</f>
        <v/>
      </c>
      <c r="F85" s="3" t="str">
        <f t="shared" ref="F85:F96" si="220">IF(K84&gt;$C$3+$C$4,"",60*$B$13)</f>
        <v/>
      </c>
      <c r="G85" s="3" t="str">
        <f t="shared" ref="G85" si="221">IF(K84&gt;$C$3+$C$4,"",G83+1)</f>
        <v/>
      </c>
      <c r="H85" s="13" t="str">
        <f t="shared" ref="H85:H96" si="222">IF(K84&gt;$C$3+$C$4,"",(K84-$G$26)/$C$4)</f>
        <v/>
      </c>
      <c r="I85" s="13" t="str">
        <f>IF(K84&gt;$C$3+$C$4,"",ROUND(IF(Tableau1469[[#This Row],[Temps_Ref]]&gt;0,($F$13*Tableau1469[[#This Row],[Temps_Ref]]^4+$G$13*Tableau1469[[#This Row],[Temps_Ref]]^3+$H$13*Tableau1469[[#This Row],[Temps_Ref]]^2+$I$13)/$J$13,0),1))</f>
        <v/>
      </c>
      <c r="J85" s="3" t="str">
        <f>IF(K84&gt;$C$3+$C$4,"",Tableau1469[[#This Row],[duree_standard]]*Tableau1469[[#This Row],[Correction_DuréeEffortIntense]])</f>
        <v/>
      </c>
      <c r="K85" s="3">
        <f>IF(K84&lt;($B$3+$B$4)*60,K84+Tableau1469[[#This Row],[Durée_Corrigée]],K84)</f>
        <v>1446</v>
      </c>
      <c r="L85" s="3" t="str">
        <f t="shared" ref="L85:L96" si="223">IF(K84&gt;$C$3+$C$4,"",$B$8)</f>
        <v/>
      </c>
      <c r="M85" s="3" t="str">
        <f t="shared" ref="M85:M96" si="224">IF(K84&gt;$C$3+$C$4,"",$B$11)</f>
        <v/>
      </c>
    </row>
    <row r="86" spans="2:13" x14ac:dyDescent="0.25">
      <c r="B86" s="15"/>
      <c r="C86" s="3">
        <v>58</v>
      </c>
      <c r="D86" s="3" t="s">
        <v>7</v>
      </c>
      <c r="E86" s="3" t="str">
        <f>IF(K85&gt;$C$3+$C$4,"",Tableau1469[[#This Row],[cumul_temps]]/60)</f>
        <v/>
      </c>
      <c r="F86" s="3" t="str">
        <f t="shared" ref="F86:F96" si="225">IF(K85&gt;$C$3+$C$4,"",60*$B$14)</f>
        <v/>
      </c>
      <c r="H86" s="13"/>
      <c r="I86" s="13"/>
      <c r="J86" s="13"/>
      <c r="K86" s="3">
        <f>IF(K85&lt;($B$3+$B$4)*60,K85+Tableau1469[[#This Row],[duree_standard]],K85)</f>
        <v>1446</v>
      </c>
      <c r="L86" s="3" t="str">
        <f t="shared" ref="L86:L96" si="226">IF(K85&gt;$C$3+$C$4,"",$B$7)</f>
        <v/>
      </c>
      <c r="M86" s="3" t="str">
        <f t="shared" ref="M86:M96" si="227">IF(K85&gt;$C$3+$C$4,"",$B$10)</f>
        <v/>
      </c>
    </row>
    <row r="87" spans="2:13" x14ac:dyDescent="0.25">
      <c r="B87" s="15"/>
      <c r="C87" s="3">
        <v>59</v>
      </c>
      <c r="D87" s="3" t="s">
        <v>27</v>
      </c>
      <c r="E87" s="3" t="str">
        <f>IF(K86&gt;$C$3+$C$4,"",Tableau1469[[#This Row],[cumul_temps]]/60)</f>
        <v/>
      </c>
      <c r="F87" s="3" t="str">
        <f t="shared" ref="F87:F96" si="228">IF(K86&gt;$C$3+$C$4,"",60*$B$13)</f>
        <v/>
      </c>
      <c r="G87" s="3" t="str">
        <f t="shared" ref="G87" si="229">IF(K86&gt;$C$3+$C$4,"",G85+1)</f>
        <v/>
      </c>
      <c r="H87" s="13" t="str">
        <f t="shared" ref="H87:H96" si="230">IF(K86&gt;$C$3+$C$4,"",(K86-$G$26)/$C$4)</f>
        <v/>
      </c>
      <c r="I87" s="13" t="str">
        <f>IF(K86&gt;$C$3+$C$4,"",ROUND(IF(Tableau1469[[#This Row],[Temps_Ref]]&gt;0,($F$13*Tableau1469[[#This Row],[Temps_Ref]]^4+$G$13*Tableau1469[[#This Row],[Temps_Ref]]^3+$H$13*Tableau1469[[#This Row],[Temps_Ref]]^2+$I$13)/$J$13,0),1))</f>
        <v/>
      </c>
      <c r="J87" s="3" t="str">
        <f>IF(K86&gt;$C$3+$C$4,"",Tableau1469[[#This Row],[duree_standard]]*Tableau1469[[#This Row],[Correction_DuréeEffortIntense]])</f>
        <v/>
      </c>
      <c r="K87" s="3">
        <f>IF(K86&lt;($B$3+$B$4)*60,K86+Tableau1469[[#This Row],[Durée_Corrigée]],K86)</f>
        <v>1446</v>
      </c>
      <c r="L87" s="3" t="str">
        <f t="shared" ref="L87:L96" si="231">IF(K86&gt;$C$3+$C$4,"",$B$8)</f>
        <v/>
      </c>
      <c r="M87" s="3" t="str">
        <f t="shared" ref="M87:M96" si="232">IF(K86&gt;$C$3+$C$4,"",$B$11)</f>
        <v/>
      </c>
    </row>
    <row r="88" spans="2:13" x14ac:dyDescent="0.25">
      <c r="B88" s="15"/>
      <c r="C88" s="3">
        <v>60</v>
      </c>
      <c r="D88" s="3" t="s">
        <v>7</v>
      </c>
      <c r="E88" s="3" t="str">
        <f>IF(K87&gt;$C$3+$C$4,"",Tableau1469[[#This Row],[cumul_temps]]/60)</f>
        <v/>
      </c>
      <c r="F88" s="3" t="str">
        <f t="shared" ref="F88:F96" si="233">IF(K87&gt;$C$3+$C$4,"",60*$B$14)</f>
        <v/>
      </c>
      <c r="H88" s="13"/>
      <c r="I88" s="13"/>
      <c r="J88" s="13"/>
      <c r="K88" s="3">
        <f>IF(K87&lt;($B$3+$B$4)*60,K87+Tableau1469[[#This Row],[duree_standard]],K87)</f>
        <v>1446</v>
      </c>
      <c r="L88" s="3" t="str">
        <f t="shared" ref="L88:L96" si="234">IF(K87&gt;$C$3+$C$4,"",$B$7)</f>
        <v/>
      </c>
      <c r="M88" s="3" t="str">
        <f t="shared" ref="M88:M96" si="235">IF(K87&gt;$C$3+$C$4,"",$B$10)</f>
        <v/>
      </c>
    </row>
    <row r="89" spans="2:13" x14ac:dyDescent="0.25">
      <c r="B89" s="15"/>
      <c r="C89" s="3">
        <v>61</v>
      </c>
      <c r="D89" s="3" t="s">
        <v>27</v>
      </c>
      <c r="E89" s="3" t="str">
        <f>IF(K88&gt;$C$3+$C$4,"",Tableau1469[[#This Row],[cumul_temps]]/60)</f>
        <v/>
      </c>
      <c r="F89" s="3" t="str">
        <f t="shared" ref="F89:F96" si="236">IF(K88&gt;$C$3+$C$4,"",60*$B$13)</f>
        <v/>
      </c>
      <c r="G89" s="3" t="str">
        <f t="shared" ref="G89" si="237">IF(K88&gt;$C$3+$C$4,"",G87+1)</f>
        <v/>
      </c>
      <c r="H89" s="13" t="str">
        <f t="shared" ref="H89:H96" si="238">IF(K88&gt;$C$3+$C$4,"",(K88-$G$26)/$C$4)</f>
        <v/>
      </c>
      <c r="I89" s="13" t="str">
        <f>IF(K88&gt;$C$3+$C$4,"",ROUND(IF(Tableau1469[[#This Row],[Temps_Ref]]&gt;0,($F$13*Tableau1469[[#This Row],[Temps_Ref]]^4+$G$13*Tableau1469[[#This Row],[Temps_Ref]]^3+$H$13*Tableau1469[[#This Row],[Temps_Ref]]^2+$I$13)/$J$13,0),1))</f>
        <v/>
      </c>
      <c r="J89" s="3" t="str">
        <f>IF(K88&gt;$C$3+$C$4,"",Tableau1469[[#This Row],[duree_standard]]*Tableau1469[[#This Row],[Correction_DuréeEffortIntense]])</f>
        <v/>
      </c>
      <c r="K89" s="3">
        <f>IF(K88&lt;($B$3+$B$4)*60,K88+Tableau1469[[#This Row],[Durée_Corrigée]],K88)</f>
        <v>1446</v>
      </c>
      <c r="L89" s="3" t="str">
        <f t="shared" ref="L89:L96" si="239">IF(K88&gt;$C$3+$C$4,"",$B$8)</f>
        <v/>
      </c>
      <c r="M89" s="3" t="str">
        <f t="shared" ref="M89:M96" si="240">IF(K88&gt;$C$3+$C$4,"",$B$11)</f>
        <v/>
      </c>
    </row>
    <row r="90" spans="2:13" x14ac:dyDescent="0.25">
      <c r="B90" s="15"/>
      <c r="C90" s="3">
        <v>62</v>
      </c>
      <c r="D90" s="3" t="s">
        <v>7</v>
      </c>
      <c r="E90" s="3" t="str">
        <f>IF(K89&gt;$C$3+$C$4,"",Tableau1469[[#This Row],[cumul_temps]]/60)</f>
        <v/>
      </c>
      <c r="F90" s="3" t="str">
        <f t="shared" ref="F90:F96" si="241">IF(K89&gt;$C$3+$C$4,"",60*$B$14)</f>
        <v/>
      </c>
      <c r="H90" s="13"/>
      <c r="I90" s="13"/>
      <c r="J90" s="13"/>
      <c r="K90" s="3">
        <f>IF(K89&lt;($B$3+$B$4)*60,K89+Tableau1469[[#This Row],[duree_standard]],K89)</f>
        <v>1446</v>
      </c>
      <c r="L90" s="3" t="str">
        <f t="shared" ref="L90:L96" si="242">IF(K89&gt;$C$3+$C$4,"",$B$7)</f>
        <v/>
      </c>
      <c r="M90" s="3" t="str">
        <f t="shared" ref="M90:M96" si="243">IF(K89&gt;$C$3+$C$4,"",$B$10)</f>
        <v/>
      </c>
    </row>
    <row r="91" spans="2:13" x14ac:dyDescent="0.25">
      <c r="B91" s="15"/>
      <c r="C91" s="3">
        <v>63</v>
      </c>
      <c r="D91" s="3" t="s">
        <v>27</v>
      </c>
      <c r="E91" s="3" t="str">
        <f>IF(K90&gt;$C$3+$C$4,"",Tableau1469[[#This Row],[cumul_temps]]/60)</f>
        <v/>
      </c>
      <c r="F91" s="3" t="str">
        <f t="shared" ref="F91:F96" si="244">IF(K90&gt;$C$3+$C$4,"",60*$B$13)</f>
        <v/>
      </c>
      <c r="G91" s="3" t="str">
        <f t="shared" ref="G91" si="245">IF(K90&gt;$C$3+$C$4,"",G89+1)</f>
        <v/>
      </c>
      <c r="H91" s="13" t="str">
        <f t="shared" ref="H91:H96" si="246">IF(K90&gt;$C$3+$C$4,"",(K90-$G$26)/$C$4)</f>
        <v/>
      </c>
      <c r="I91" s="13" t="str">
        <f>IF(K90&gt;$C$3+$C$4,"",ROUND(IF(Tableau1469[[#This Row],[Temps_Ref]]&gt;0,($F$13*Tableau1469[[#This Row],[Temps_Ref]]^4+$G$13*Tableau1469[[#This Row],[Temps_Ref]]^3+$H$13*Tableau1469[[#This Row],[Temps_Ref]]^2+$I$13)/$J$13,0),1))</f>
        <v/>
      </c>
      <c r="J91" s="3" t="str">
        <f>IF(K90&gt;$C$3+$C$4,"",Tableau1469[[#This Row],[duree_standard]]*Tableau1469[[#This Row],[Correction_DuréeEffortIntense]])</f>
        <v/>
      </c>
      <c r="K91" s="3">
        <f>IF(K90&lt;($B$3+$B$4)*60,K90+Tableau1469[[#This Row],[Durée_Corrigée]],K90)</f>
        <v>1446</v>
      </c>
      <c r="L91" s="3" t="str">
        <f t="shared" ref="L91:L96" si="247">IF(K90&gt;$C$3+$C$4,"",$B$8)</f>
        <v/>
      </c>
      <c r="M91" s="3" t="str">
        <f t="shared" ref="M91:M96" si="248">IF(K90&gt;$C$3+$C$4,"",$B$11)</f>
        <v/>
      </c>
    </row>
    <row r="92" spans="2:13" x14ac:dyDescent="0.25">
      <c r="B92" s="15"/>
      <c r="C92" s="3">
        <v>64</v>
      </c>
      <c r="D92" s="3" t="s">
        <v>7</v>
      </c>
      <c r="E92" s="3" t="str">
        <f>IF(K91&gt;$C$3+$C$4,"",Tableau1469[[#This Row],[cumul_temps]]/60)</f>
        <v/>
      </c>
      <c r="F92" s="3" t="str">
        <f t="shared" ref="F92:F96" si="249">IF(K91&gt;$C$3+$C$4,"",60*$B$14)</f>
        <v/>
      </c>
      <c r="H92" s="13"/>
      <c r="I92" s="13"/>
      <c r="J92" s="13"/>
      <c r="K92" s="3">
        <f>IF(K91&lt;($B$3+$B$4)*60,K91+Tableau1469[[#This Row],[duree_standard]],K91)</f>
        <v>1446</v>
      </c>
      <c r="L92" s="3" t="str">
        <f t="shared" ref="L92:L96" si="250">IF(K91&gt;$C$3+$C$4,"",$B$7)</f>
        <v/>
      </c>
      <c r="M92" s="3" t="str">
        <f t="shared" ref="M92:M96" si="251">IF(K91&gt;$C$3+$C$4,"",$B$10)</f>
        <v/>
      </c>
    </row>
    <row r="93" spans="2:13" x14ac:dyDescent="0.25">
      <c r="B93" s="15"/>
      <c r="C93" s="3">
        <v>65</v>
      </c>
      <c r="D93" s="3" t="s">
        <v>27</v>
      </c>
      <c r="E93" s="3" t="str">
        <f>IF(K92&gt;$C$3+$C$4,"",Tableau1469[[#This Row],[cumul_temps]]/60)</f>
        <v/>
      </c>
      <c r="F93" s="3" t="str">
        <f t="shared" ref="F93:F96" si="252">IF(K92&gt;$C$3+$C$4,"",60*$B$13)</f>
        <v/>
      </c>
      <c r="G93" s="3" t="str">
        <f t="shared" ref="G93" si="253">IF(K92&gt;$C$3+$C$4,"",G91+1)</f>
        <v/>
      </c>
      <c r="H93" s="13" t="str">
        <f t="shared" ref="H93:H96" si="254">IF(K92&gt;$C$3+$C$4,"",(K92-$G$26)/$C$4)</f>
        <v/>
      </c>
      <c r="I93" s="13" t="str">
        <f>IF(K92&gt;$C$3+$C$4,"",ROUND(IF(Tableau1469[[#This Row],[Temps_Ref]]&gt;0,($F$13*Tableau1469[[#This Row],[Temps_Ref]]^4+$G$13*Tableau1469[[#This Row],[Temps_Ref]]^3+$H$13*Tableau1469[[#This Row],[Temps_Ref]]^2+$I$13)/$J$13,0),1))</f>
        <v/>
      </c>
      <c r="J93" s="3" t="str">
        <f>IF(K92&gt;$C$3+$C$4,"",Tableau1469[[#This Row],[duree_standard]]*Tableau1469[[#This Row],[Correction_DuréeEffortIntense]])</f>
        <v/>
      </c>
      <c r="K93" s="3">
        <f>IF(K92&lt;($B$3+$B$4)*60,K92+Tableau1469[[#This Row],[Durée_Corrigée]],K92)</f>
        <v>1446</v>
      </c>
      <c r="L93" s="3" t="str">
        <f t="shared" ref="L93:L96" si="255">IF(K92&gt;$C$3+$C$4,"",$B$8)</f>
        <v/>
      </c>
      <c r="M93" s="3" t="str">
        <f t="shared" ref="M93:M96" si="256">IF(K92&gt;$C$3+$C$4,"",$B$11)</f>
        <v/>
      </c>
    </row>
    <row r="94" spans="2:13" x14ac:dyDescent="0.25">
      <c r="B94" s="15"/>
      <c r="C94" s="3">
        <v>66</v>
      </c>
      <c r="D94" s="3" t="s">
        <v>7</v>
      </c>
      <c r="E94" s="3" t="str">
        <f>IF(K93&gt;$C$3+$C$4,"",Tableau1469[[#This Row],[cumul_temps]]/60)</f>
        <v/>
      </c>
      <c r="F94" s="3" t="str">
        <f t="shared" ref="F94:F96" si="257">IF(K93&gt;$C$3+$C$4,"",60*$B$14)</f>
        <v/>
      </c>
      <c r="H94" s="13"/>
      <c r="I94" s="13"/>
      <c r="J94" s="13"/>
      <c r="K94" s="3">
        <f>IF(K93&lt;($B$3+$B$4)*60,K93+Tableau1469[[#This Row],[duree_standard]],K93)</f>
        <v>1446</v>
      </c>
      <c r="L94" s="3" t="str">
        <f t="shared" ref="L94:L96" si="258">IF(K93&gt;$C$3+$C$4,"",$B$7)</f>
        <v/>
      </c>
      <c r="M94" s="3" t="str">
        <f t="shared" ref="M94:M96" si="259">IF(K93&gt;$C$3+$C$4,"",$B$10)</f>
        <v/>
      </c>
    </row>
    <row r="95" spans="2:13" x14ac:dyDescent="0.25">
      <c r="B95" s="15"/>
      <c r="C95" s="3">
        <v>67</v>
      </c>
      <c r="D95" s="3" t="s">
        <v>27</v>
      </c>
      <c r="E95" s="3" t="str">
        <f>IF(K94&gt;$C$3+$C$4,"",Tableau1469[[#This Row],[cumul_temps]]/60)</f>
        <v/>
      </c>
      <c r="F95" s="3" t="str">
        <f t="shared" ref="F95:F96" si="260">IF(K94&gt;$C$3+$C$4,"",60*$B$13)</f>
        <v/>
      </c>
      <c r="G95" s="3" t="str">
        <f t="shared" ref="G95" si="261">IF(K94&gt;$C$3+$C$4,"",G93+1)</f>
        <v/>
      </c>
      <c r="H95" s="13" t="str">
        <f t="shared" ref="H95:H96" si="262">IF(K94&gt;$C$3+$C$4,"",(K94-$G$26)/$C$4)</f>
        <v/>
      </c>
      <c r="I95" s="13" t="str">
        <f>IF(K94&gt;$C$3+$C$4,"",ROUND(IF(Tableau1469[[#This Row],[Temps_Ref]]&gt;0,($F$13*Tableau1469[[#This Row],[Temps_Ref]]^4+$G$13*Tableau1469[[#This Row],[Temps_Ref]]^3+$H$13*Tableau1469[[#This Row],[Temps_Ref]]^2+$I$13)/$J$13,0),1))</f>
        <v/>
      </c>
      <c r="J95" s="3" t="str">
        <f>IF(K94&gt;$C$3+$C$4,"",Tableau1469[[#This Row],[duree_standard]]*Tableau1469[[#This Row],[Correction_DuréeEffortIntense]])</f>
        <v/>
      </c>
      <c r="K95" s="3">
        <f>IF(K94&lt;($B$3+$B$4)*60,K94+Tableau1469[[#This Row],[Durée_Corrigée]],K94)</f>
        <v>1446</v>
      </c>
      <c r="L95" s="3" t="str">
        <f t="shared" ref="L95:L96" si="263">IF(K94&gt;$C$3+$C$4,"",$B$8)</f>
        <v/>
      </c>
      <c r="M95" s="3" t="str">
        <f t="shared" ref="M95:M96" si="264">IF(K94&gt;$C$3+$C$4,"",$B$11)</f>
        <v/>
      </c>
    </row>
    <row r="96" spans="2:13" x14ac:dyDescent="0.25">
      <c r="B96" s="16"/>
      <c r="C96" s="3">
        <v>68</v>
      </c>
      <c r="D96" s="3" t="s">
        <v>7</v>
      </c>
      <c r="E96" s="3" t="str">
        <f>IF(K95&gt;$C$3+$C$4,"",Tableau1469[[#This Row],[cumul_temps]]/60)</f>
        <v/>
      </c>
      <c r="F96" s="3" t="str">
        <f t="shared" ref="F96" si="265">IF(K95&gt;$C$3+$C$4,"",60*$B$14)</f>
        <v/>
      </c>
      <c r="H96" s="13"/>
      <c r="I96" s="13"/>
      <c r="J96" s="13"/>
      <c r="K96" s="3">
        <f>IF(K95&lt;($B$3+$B$4)*60,K95+Tableau1469[[#This Row],[duree_standard]],K95)</f>
        <v>1446</v>
      </c>
      <c r="L96" s="3" t="str">
        <f t="shared" ref="L96" si="266">IF(K95&gt;$C$3+$C$4,"",$B$7)</f>
        <v/>
      </c>
      <c r="M96" s="3" t="str">
        <f t="shared" ref="M96" si="267">IF(K95&gt;$C$3+$C$4,"",$B$10)</f>
        <v/>
      </c>
    </row>
    <row r="98" spans="2:10" x14ac:dyDescent="0.25">
      <c r="B98" s="14" t="s">
        <v>15</v>
      </c>
      <c r="C98" s="3" t="s">
        <v>0</v>
      </c>
      <c r="D98" s="3" t="s">
        <v>1</v>
      </c>
      <c r="E98" s="3" t="s">
        <v>2</v>
      </c>
      <c r="F98" s="3" t="s">
        <v>3</v>
      </c>
      <c r="G98" s="3" t="s">
        <v>22</v>
      </c>
      <c r="H98" s="3" t="s">
        <v>4</v>
      </c>
      <c r="I98" s="3" t="s">
        <v>5</v>
      </c>
      <c r="J98"/>
    </row>
    <row r="99" spans="2:10" x14ac:dyDescent="0.25">
      <c r="B99" s="15"/>
      <c r="C99" s="3">
        <v>1</v>
      </c>
      <c r="D99" s="3" t="s">
        <v>7</v>
      </c>
      <c r="E99" s="3">
        <f>$K$96/60</f>
        <v>24.1</v>
      </c>
      <c r="F99" s="3">
        <v>60</v>
      </c>
      <c r="G99" s="3">
        <f>$K$96+Tableau15710[[#This Row],[duree_s]]</f>
        <v>1506</v>
      </c>
      <c r="H99" s="3">
        <f t="shared" ref="H99" si="268">$B$7</f>
        <v>5</v>
      </c>
      <c r="I99" s="3">
        <f t="shared" ref="I99" si="269">$B$10</f>
        <v>25</v>
      </c>
      <c r="J99"/>
    </row>
    <row r="100" spans="2:10" x14ac:dyDescent="0.25">
      <c r="B100" s="15"/>
      <c r="C100" s="3">
        <v>2</v>
      </c>
      <c r="D100" s="3" t="s">
        <v>24</v>
      </c>
      <c r="E100" s="3">
        <f>G99/60</f>
        <v>25.1</v>
      </c>
      <c r="F100" s="3">
        <v>60</v>
      </c>
      <c r="G100" s="3">
        <f>+G99+Tableau15710[[#This Row],[duree_s]]</f>
        <v>1566</v>
      </c>
      <c r="H100" s="3">
        <f>ROUND($B$7+($B$8-$B$7)*2/3,0)</f>
        <v>8</v>
      </c>
      <c r="I100" s="3">
        <f>ROUND($B$10+($B$11-$B$10)*2/3,0)</f>
        <v>30</v>
      </c>
      <c r="J100"/>
    </row>
    <row r="101" spans="2:10" x14ac:dyDescent="0.25">
      <c r="B101" s="15"/>
      <c r="C101" s="3">
        <v>3</v>
      </c>
      <c r="D101" s="3" t="s">
        <v>7</v>
      </c>
      <c r="E101" s="3">
        <f t="shared" ref="E101:E105" si="270">G100/60</f>
        <v>26.1</v>
      </c>
      <c r="F101" s="3">
        <v>60</v>
      </c>
      <c r="G101" s="3">
        <f>+G100+Tableau15710[[#This Row],[duree_s]]</f>
        <v>1626</v>
      </c>
      <c r="H101" s="3">
        <f t="shared" ref="H101" si="271">$B$7</f>
        <v>5</v>
      </c>
      <c r="I101" s="3">
        <f t="shared" ref="I101" si="272">$B$10</f>
        <v>25</v>
      </c>
      <c r="J101"/>
    </row>
    <row r="102" spans="2:10" x14ac:dyDescent="0.25">
      <c r="B102" s="15"/>
      <c r="C102" s="3">
        <v>6</v>
      </c>
      <c r="D102" s="3" t="s">
        <v>23</v>
      </c>
      <c r="E102" s="3">
        <f t="shared" si="270"/>
        <v>27.1</v>
      </c>
      <c r="F102" s="3">
        <v>60</v>
      </c>
      <c r="G102" s="3">
        <f>+G101+Tableau15710[[#This Row],[duree_s]]</f>
        <v>1686</v>
      </c>
      <c r="H102" s="3">
        <f>ROUND($B$7+($B$8-$B$7)/3,0)</f>
        <v>7</v>
      </c>
      <c r="I102" s="3">
        <f>ROUND($B$10+($B$11-$B$10)*2/3,0)</f>
        <v>30</v>
      </c>
      <c r="J102"/>
    </row>
    <row r="103" spans="2:10" x14ac:dyDescent="0.25">
      <c r="B103" s="15"/>
      <c r="C103" s="3">
        <v>7</v>
      </c>
      <c r="D103" s="3" t="s">
        <v>7</v>
      </c>
      <c r="E103" s="3">
        <f t="shared" si="270"/>
        <v>28.1</v>
      </c>
      <c r="F103" s="3">
        <v>60</v>
      </c>
      <c r="G103" s="3">
        <f>+G102+Tableau15710[[#This Row],[duree_s]]</f>
        <v>1746</v>
      </c>
      <c r="H103" s="3">
        <f t="shared" ref="H103" si="273">$B$7</f>
        <v>5</v>
      </c>
      <c r="I103" s="3">
        <f t="shared" ref="I103" si="274">$B$10</f>
        <v>25</v>
      </c>
      <c r="J103"/>
    </row>
    <row r="104" spans="2:10" x14ac:dyDescent="0.25">
      <c r="B104" s="15"/>
      <c r="C104" s="3">
        <v>8</v>
      </c>
      <c r="D104" s="3" t="s">
        <v>23</v>
      </c>
      <c r="E104" s="3">
        <f t="shared" si="270"/>
        <v>29.1</v>
      </c>
      <c r="F104" s="3">
        <v>60</v>
      </c>
      <c r="G104" s="3">
        <f>+G103+Tableau15710[[#This Row],[duree_s]]</f>
        <v>1806</v>
      </c>
      <c r="H104" s="3">
        <f>$B$7</f>
        <v>5</v>
      </c>
      <c r="I104" s="3">
        <f>ROUND($B$10+($B$11-$B$10)/3,0)</f>
        <v>28</v>
      </c>
      <c r="J104"/>
    </row>
    <row r="105" spans="2:10" x14ac:dyDescent="0.25">
      <c r="B105" s="16"/>
      <c r="C105" s="3">
        <v>9</v>
      </c>
      <c r="D105" s="3" t="s">
        <v>7</v>
      </c>
      <c r="E105" s="3">
        <f t="shared" si="270"/>
        <v>30.1</v>
      </c>
      <c r="F105" s="3">
        <f>$D$1*60-G104</f>
        <v>-6</v>
      </c>
      <c r="G105" s="3">
        <f>+G104+Tableau15710[[#This Row],[duree_s]]</f>
        <v>1800</v>
      </c>
      <c r="H105" s="3">
        <v>2</v>
      </c>
      <c r="I105" s="3">
        <v>22</v>
      </c>
      <c r="J105"/>
    </row>
  </sheetData>
  <mergeCells count="4">
    <mergeCell ref="E11:J11"/>
    <mergeCell ref="B17:B26"/>
    <mergeCell ref="B28:B96"/>
    <mergeCell ref="B98:B105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8447-4697-4CD2-AE55-996455F33123}">
  <dimension ref="A1:M105"/>
  <sheetViews>
    <sheetView zoomScale="85" zoomScaleNormal="85" workbookViewId="0">
      <pane xSplit="3" ySplit="14" topLeftCell="D63" activePane="bottomRight" state="frozen"/>
      <selection pane="topRight" activeCell="D1" sqref="D1"/>
      <selection pane="bottomLeft" activeCell="A16" sqref="A16"/>
      <selection pane="bottomRight" activeCell="B7" sqref="B7"/>
    </sheetView>
  </sheetViews>
  <sheetFormatPr baseColWidth="10" defaultRowHeight="15" x14ac:dyDescent="0.25"/>
  <cols>
    <col min="1" max="1" width="38.85546875" bestFit="1" customWidth="1"/>
    <col min="2" max="2" width="15.140625" bestFit="1" customWidth="1"/>
    <col min="3" max="3" width="13.140625" style="3" bestFit="1" customWidth="1"/>
    <col min="4" max="4" width="15.140625" style="3" bestFit="1" customWidth="1"/>
    <col min="5" max="5" width="15.28515625" style="3" bestFit="1" customWidth="1"/>
    <col min="6" max="6" width="13.140625" style="3" bestFit="1" customWidth="1"/>
    <col min="7" max="7" width="25.42578125" style="3" bestFit="1" customWidth="1"/>
    <col min="8" max="8" width="23.7109375" style="3" bestFit="1" customWidth="1"/>
    <col min="9" max="9" width="15.140625" style="3" customWidth="1"/>
    <col min="10" max="10" width="19.85546875" style="3" bestFit="1" customWidth="1"/>
    <col min="11" max="12" width="18" bestFit="1" customWidth="1"/>
    <col min="13" max="13" width="9.5703125" bestFit="1" customWidth="1"/>
  </cols>
  <sheetData>
    <row r="1" spans="1:10" ht="18.75" x14ac:dyDescent="0.3">
      <c r="A1" s="2" t="s">
        <v>41</v>
      </c>
      <c r="B1" s="2">
        <v>45</v>
      </c>
      <c r="C1" s="4" t="s">
        <v>18</v>
      </c>
      <c r="D1" s="3">
        <f>IF($B$1&lt;25,25,IF($B$1&gt;75,75,$B$1))</f>
        <v>45</v>
      </c>
      <c r="E1" s="3">
        <f>$G$105/60</f>
        <v>45</v>
      </c>
    </row>
    <row r="2" spans="1:10" x14ac:dyDescent="0.25">
      <c r="A2" s="1" t="s">
        <v>14</v>
      </c>
      <c r="B2" s="1">
        <f>+D1*60</f>
        <v>2700</v>
      </c>
    </row>
    <row r="3" spans="1:10" x14ac:dyDescent="0.25">
      <c r="A3" s="1" t="s">
        <v>16</v>
      </c>
      <c r="B3" s="1">
        <f>10</f>
        <v>10</v>
      </c>
      <c r="C3" s="6">
        <f>+B3*60</f>
        <v>600</v>
      </c>
    </row>
    <row r="4" spans="1:10" x14ac:dyDescent="0.25">
      <c r="A4" s="1" t="s">
        <v>25</v>
      </c>
      <c r="B4" s="1">
        <f>+D1-(B3+B5)</f>
        <v>27</v>
      </c>
      <c r="C4" s="6">
        <f t="shared" ref="C4:C5" si="0">+B4*60</f>
        <v>1620</v>
      </c>
    </row>
    <row r="5" spans="1:10" x14ac:dyDescent="0.25">
      <c r="A5" s="1" t="s">
        <v>17</v>
      </c>
      <c r="B5" s="1">
        <v>8</v>
      </c>
      <c r="C5" s="6">
        <f t="shared" si="0"/>
        <v>480</v>
      </c>
    </row>
    <row r="6" spans="1:10" ht="18.75" x14ac:dyDescent="0.3">
      <c r="A6" s="2" t="s">
        <v>19</v>
      </c>
      <c r="B6" s="2">
        <v>7</v>
      </c>
    </row>
    <row r="7" spans="1:10" x14ac:dyDescent="0.25">
      <c r="A7" s="1" t="s">
        <v>8</v>
      </c>
      <c r="B7" s="1">
        <f>ROUND(2 + ($B$6-1)*6/9,0)</f>
        <v>6</v>
      </c>
    </row>
    <row r="8" spans="1:10" x14ac:dyDescent="0.25">
      <c r="A8" s="1" t="s">
        <v>9</v>
      </c>
      <c r="B8" s="1">
        <f>ROUND(6 + ($B$6-1)*10/9,0)</f>
        <v>13</v>
      </c>
    </row>
    <row r="9" spans="1:10" ht="18.75" x14ac:dyDescent="0.3">
      <c r="A9" s="2" t="s">
        <v>20</v>
      </c>
      <c r="B9" s="2">
        <v>5</v>
      </c>
    </row>
    <row r="10" spans="1:10" x14ac:dyDescent="0.25">
      <c r="A10" s="1" t="s">
        <v>10</v>
      </c>
      <c r="B10" s="1">
        <f>ROUND(22 + ($B$9-1)*6/9,0)</f>
        <v>25</v>
      </c>
    </row>
    <row r="11" spans="1:10" ht="15.75" x14ac:dyDescent="0.25">
      <c r="A11" s="1" t="s">
        <v>11</v>
      </c>
      <c r="B11" s="1">
        <f>ROUND(30 + ($B$9-1)*6/9,0)</f>
        <v>33</v>
      </c>
      <c r="E11" s="17" t="s">
        <v>40</v>
      </c>
      <c r="F11" s="18"/>
      <c r="G11" s="18"/>
      <c r="H11" s="18"/>
      <c r="I11" s="18"/>
      <c r="J11" s="19"/>
    </row>
    <row r="12" spans="1:10" ht="18.75" x14ac:dyDescent="0.3">
      <c r="A12" s="2" t="s">
        <v>12</v>
      </c>
      <c r="B12" s="2">
        <v>7</v>
      </c>
      <c r="C12" s="21" t="s">
        <v>42</v>
      </c>
      <c r="E12" s="7" t="s">
        <v>39</v>
      </c>
      <c r="F12" s="8" t="s">
        <v>33</v>
      </c>
      <c r="G12" s="8" t="s">
        <v>35</v>
      </c>
      <c r="H12" s="8" t="s">
        <v>36</v>
      </c>
      <c r="I12" s="8" t="s">
        <v>34</v>
      </c>
      <c r="J12" s="9" t="s">
        <v>37</v>
      </c>
    </row>
    <row r="13" spans="1:10" x14ac:dyDescent="0.25">
      <c r="A13" s="1" t="s">
        <v>32</v>
      </c>
      <c r="B13" s="5">
        <f>ROUND(((1-$C$13)*$B$12+10*$C$13-1)/9*$B$14,1)</f>
        <v>2.4</v>
      </c>
      <c r="C13" s="20">
        <v>2</v>
      </c>
      <c r="E13" s="10">
        <f>103/72</f>
        <v>1.4305555555555556</v>
      </c>
      <c r="F13" s="11">
        <v>425</v>
      </c>
      <c r="G13" s="11">
        <v>-1010</v>
      </c>
      <c r="H13" s="11">
        <v>603</v>
      </c>
      <c r="I13" s="11">
        <v>18</v>
      </c>
      <c r="J13" s="12">
        <v>36</v>
      </c>
    </row>
    <row r="14" spans="1:10" x14ac:dyDescent="0.25">
      <c r="A14" s="1" t="s">
        <v>21</v>
      </c>
      <c r="B14" s="5">
        <f>ROUND(0.5 + (B12-1)*2/9,1)</f>
        <v>1.8</v>
      </c>
    </row>
    <row r="15" spans="1:10" x14ac:dyDescent="0.25">
      <c r="A15" s="1"/>
      <c r="B15" s="1"/>
    </row>
    <row r="17" spans="2:13" x14ac:dyDescent="0.25">
      <c r="B17" s="14" t="s">
        <v>13</v>
      </c>
      <c r="C17" s="3" t="s">
        <v>0</v>
      </c>
      <c r="D17" s="3" t="s">
        <v>1</v>
      </c>
      <c r="E17" s="3" t="s">
        <v>2</v>
      </c>
      <c r="F17" s="3" t="s">
        <v>3</v>
      </c>
      <c r="G17" s="3" t="s">
        <v>22</v>
      </c>
      <c r="H17" s="3" t="s">
        <v>4</v>
      </c>
      <c r="I17" s="3" t="s">
        <v>5</v>
      </c>
      <c r="J17"/>
    </row>
    <row r="18" spans="2:13" x14ac:dyDescent="0.25">
      <c r="B18" s="15"/>
      <c r="C18" s="3">
        <v>1</v>
      </c>
      <c r="D18" s="3" t="s">
        <v>6</v>
      </c>
      <c r="E18" s="3">
        <v>0</v>
      </c>
      <c r="F18" s="3">
        <v>120</v>
      </c>
      <c r="G18" s="3">
        <f>+F18</f>
        <v>120</v>
      </c>
      <c r="H18" s="3">
        <v>2</v>
      </c>
      <c r="I18" s="3">
        <v>22</v>
      </c>
      <c r="J18"/>
    </row>
    <row r="19" spans="2:13" x14ac:dyDescent="0.25">
      <c r="B19" s="15"/>
      <c r="C19" s="3">
        <v>2</v>
      </c>
      <c r="D19" s="3" t="s">
        <v>23</v>
      </c>
      <c r="E19" s="3">
        <f>+G18/60</f>
        <v>2</v>
      </c>
      <c r="F19" s="3">
        <v>60</v>
      </c>
      <c r="G19" s="3">
        <f t="shared" ref="G19:G26" si="1">+G18+F19</f>
        <v>180</v>
      </c>
      <c r="H19" s="3">
        <f>$B$7</f>
        <v>6</v>
      </c>
      <c r="I19" s="3">
        <f>ROUND($B$10+($B$11-$B$10)/3,0)</f>
        <v>28</v>
      </c>
      <c r="J19"/>
    </row>
    <row r="20" spans="2:13" x14ac:dyDescent="0.25">
      <c r="B20" s="15"/>
      <c r="C20" s="3">
        <v>3</v>
      </c>
      <c r="D20" s="3" t="s">
        <v>7</v>
      </c>
      <c r="E20" s="3">
        <f t="shared" ref="E20:E26" si="2">+G19/60</f>
        <v>3</v>
      </c>
      <c r="F20" s="3">
        <v>60</v>
      </c>
      <c r="G20" s="3">
        <f t="shared" si="1"/>
        <v>240</v>
      </c>
      <c r="H20" s="3">
        <v>2</v>
      </c>
      <c r="I20" s="3">
        <v>22</v>
      </c>
      <c r="J20"/>
    </row>
    <row r="21" spans="2:13" x14ac:dyDescent="0.25">
      <c r="B21" s="15"/>
      <c r="C21" s="3">
        <v>4</v>
      </c>
      <c r="D21" s="3" t="s">
        <v>24</v>
      </c>
      <c r="E21" s="3">
        <f t="shared" si="2"/>
        <v>4</v>
      </c>
      <c r="F21" s="3">
        <v>60</v>
      </c>
      <c r="G21" s="3">
        <f t="shared" si="1"/>
        <v>300</v>
      </c>
      <c r="H21" s="3">
        <f>ROUND($B$7+($B$8-$B$7)/3,0)</f>
        <v>8</v>
      </c>
      <c r="I21" s="3">
        <f>ROUND($B$10+($B$11-$B$10)/3,0)</f>
        <v>28</v>
      </c>
      <c r="J21"/>
    </row>
    <row r="22" spans="2:13" x14ac:dyDescent="0.25">
      <c r="B22" s="15"/>
      <c r="C22" s="3">
        <v>5</v>
      </c>
      <c r="D22" s="3" t="s">
        <v>7</v>
      </c>
      <c r="E22" s="3">
        <f t="shared" si="2"/>
        <v>5</v>
      </c>
      <c r="F22" s="3">
        <v>60</v>
      </c>
      <c r="G22" s="3">
        <f t="shared" si="1"/>
        <v>360</v>
      </c>
      <c r="H22" s="3">
        <f t="shared" ref="H22" si="3">$B$7</f>
        <v>6</v>
      </c>
      <c r="I22" s="3">
        <f t="shared" ref="I22" si="4">$B$10</f>
        <v>25</v>
      </c>
      <c r="J22"/>
    </row>
    <row r="23" spans="2:13" x14ac:dyDescent="0.25">
      <c r="B23" s="15"/>
      <c r="C23" s="3">
        <v>6</v>
      </c>
      <c r="D23" s="3" t="s">
        <v>23</v>
      </c>
      <c r="E23" s="3">
        <f t="shared" si="2"/>
        <v>6</v>
      </c>
      <c r="F23" s="3">
        <v>60</v>
      </c>
      <c r="G23" s="3">
        <f t="shared" si="1"/>
        <v>420</v>
      </c>
      <c r="H23" s="3">
        <f>ROUND($B$7+($B$8-$B$7)/3,0)</f>
        <v>8</v>
      </c>
      <c r="I23" s="3">
        <f>ROUND($B$10+($B$11-$B$10)*2/3,0)</f>
        <v>30</v>
      </c>
      <c r="J23"/>
    </row>
    <row r="24" spans="2:13" x14ac:dyDescent="0.25">
      <c r="B24" s="15"/>
      <c r="C24" s="3">
        <v>7</v>
      </c>
      <c r="D24" s="3" t="s">
        <v>7</v>
      </c>
      <c r="E24" s="3">
        <f t="shared" si="2"/>
        <v>7</v>
      </c>
      <c r="F24" s="3">
        <v>60</v>
      </c>
      <c r="G24" s="3">
        <f t="shared" si="1"/>
        <v>480</v>
      </c>
      <c r="H24" s="3">
        <f t="shared" ref="H24" si="5">$B$7</f>
        <v>6</v>
      </c>
      <c r="I24" s="3">
        <f t="shared" ref="I24" si="6">$B$10</f>
        <v>25</v>
      </c>
      <c r="J24"/>
    </row>
    <row r="25" spans="2:13" x14ac:dyDescent="0.25">
      <c r="B25" s="15"/>
      <c r="C25" s="3">
        <v>8</v>
      </c>
      <c r="D25" s="3" t="s">
        <v>24</v>
      </c>
      <c r="E25" s="3">
        <f t="shared" si="2"/>
        <v>8</v>
      </c>
      <c r="F25" s="3">
        <v>60</v>
      </c>
      <c r="G25" s="3">
        <f t="shared" si="1"/>
        <v>540</v>
      </c>
      <c r="H25" s="3">
        <f>ROUND($B$7+($B$8-$B$7)*2/3,0)</f>
        <v>11</v>
      </c>
      <c r="I25" s="3">
        <f>ROUND($B$10+($B$11-$B$10)*2/3,0)</f>
        <v>30</v>
      </c>
      <c r="J25"/>
    </row>
    <row r="26" spans="2:13" x14ac:dyDescent="0.25">
      <c r="B26" s="16"/>
      <c r="C26" s="3">
        <v>9</v>
      </c>
      <c r="D26" s="3" t="s">
        <v>7</v>
      </c>
      <c r="E26" s="3">
        <f t="shared" si="2"/>
        <v>9</v>
      </c>
      <c r="F26" s="3">
        <v>60</v>
      </c>
      <c r="G26" s="3">
        <f t="shared" si="1"/>
        <v>600</v>
      </c>
      <c r="H26" s="3">
        <f t="shared" ref="H26" si="7">$B$7</f>
        <v>6</v>
      </c>
      <c r="I26" s="3">
        <f t="shared" ref="I26" si="8">$B$10</f>
        <v>25</v>
      </c>
      <c r="J26"/>
    </row>
    <row r="28" spans="2:13" ht="15" customHeight="1" x14ac:dyDescent="0.25">
      <c r="B28" s="14" t="s">
        <v>26</v>
      </c>
      <c r="C28" s="3" t="s">
        <v>0</v>
      </c>
      <c r="D28" s="3" t="s">
        <v>1</v>
      </c>
      <c r="E28" s="3" t="s">
        <v>2</v>
      </c>
      <c r="F28" s="3" t="s">
        <v>30</v>
      </c>
      <c r="G28" s="3" t="s">
        <v>28</v>
      </c>
      <c r="H28" s="3" t="s">
        <v>38</v>
      </c>
      <c r="I28" s="3" t="s">
        <v>29</v>
      </c>
      <c r="J28" s="3" t="s">
        <v>31</v>
      </c>
      <c r="K28" s="3" t="s">
        <v>22</v>
      </c>
      <c r="L28" s="3" t="s">
        <v>4</v>
      </c>
      <c r="M28" s="3" t="s">
        <v>5</v>
      </c>
    </row>
    <row r="29" spans="2:13" x14ac:dyDescent="0.25">
      <c r="B29" s="15"/>
      <c r="C29" s="3">
        <v>1</v>
      </c>
      <c r="D29" s="3" t="s">
        <v>27</v>
      </c>
      <c r="E29" s="3">
        <f>$G$26/60</f>
        <v>10</v>
      </c>
      <c r="F29" s="3">
        <f>60*$B$13</f>
        <v>144</v>
      </c>
      <c r="G29" s="3">
        <v>1</v>
      </c>
      <c r="H29" s="13">
        <v>0</v>
      </c>
      <c r="I29" s="13">
        <f>ROUND(($F$13*Tableau146912[[#This Row],[Temps_Ref]]^4+$G$13*Tableau146912[[#This Row],[Temps_Ref]]^3+$H$13*Tableau146912[[#This Row],[Temps_Ref]]^2+$I$13)/$J$13,1)</f>
        <v>0.5</v>
      </c>
      <c r="J29" s="3">
        <f>Tableau146912[[#This Row],[duree_standard]]*Tableau146912[[#This Row],[Correction_DuréeEffortIntense]]</f>
        <v>72</v>
      </c>
      <c r="K29" s="3">
        <f>$G$26+Tableau146912[[#This Row],[Durée_Corrigée]]</f>
        <v>672</v>
      </c>
      <c r="L29" s="3">
        <f>$B$8</f>
        <v>13</v>
      </c>
      <c r="M29" s="3">
        <f>$B$11</f>
        <v>33</v>
      </c>
    </row>
    <row r="30" spans="2:13" x14ac:dyDescent="0.25">
      <c r="B30" s="15"/>
      <c r="C30" s="3">
        <v>2</v>
      </c>
      <c r="D30" s="3" t="s">
        <v>7</v>
      </c>
      <c r="E30" s="3">
        <f>IF(K29&gt;$C$3+$C$4,"",Tableau146912[[#This Row],[cumul_temps]]/60)</f>
        <v>13</v>
      </c>
      <c r="F30" s="3">
        <f>IF(K29&gt;$C$3+$C$4,"",60*$B$14)</f>
        <v>108</v>
      </c>
      <c r="H30" s="13"/>
      <c r="I30" s="13"/>
      <c r="J30" s="13"/>
      <c r="K30" s="3">
        <f>IF(K29&lt;($B$3+$B$4)*60,K29+Tableau146912[[#This Row],[duree_standard]],K29)</f>
        <v>780</v>
      </c>
      <c r="L30" s="3">
        <f>IF(K29&gt;$C$3+$C$4,"",$B$7)</f>
        <v>6</v>
      </c>
      <c r="M30" s="3">
        <f>IF(K29&gt;$C$3+$C$4,"",$B$10)</f>
        <v>25</v>
      </c>
    </row>
    <row r="31" spans="2:13" x14ac:dyDescent="0.25">
      <c r="B31" s="15"/>
      <c r="C31" s="3">
        <v>3</v>
      </c>
      <c r="D31" s="3" t="s">
        <v>27</v>
      </c>
      <c r="E31" s="3">
        <f>IF(K30&gt;$C$3+$C$4,"",Tableau146912[[#This Row],[cumul_temps]]/60)</f>
        <v>14.68</v>
      </c>
      <c r="F31" s="3">
        <f>IF(K30&gt;$C$3+$C$4,"",60*$B$13)</f>
        <v>144</v>
      </c>
      <c r="G31" s="3">
        <f>IF(K30&gt;$C$3+$C$4,"",G29+1)</f>
        <v>2</v>
      </c>
      <c r="H31" s="13">
        <f>IF(K30&gt;$C$3+$C$4,"",(K30-$G$26)/$C$4)</f>
        <v>0.1111111111111111</v>
      </c>
      <c r="I31" s="13">
        <f>IF(K30&gt;$C$3+$C$4,"",ROUND(IF(Tableau146912[[#This Row],[Temps_Ref]]&gt;0,($F$13*Tableau146912[[#This Row],[Temps_Ref]]^4+$G$13*Tableau146912[[#This Row],[Temps_Ref]]^3+$H$13*Tableau146912[[#This Row],[Temps_Ref]]^2+$I$13)/$J$13,0),1))</f>
        <v>0.7</v>
      </c>
      <c r="J31" s="3">
        <f>IF(K30&gt;$C$3+$C$4,"",Tableau146912[[#This Row],[duree_standard]]*Tableau146912[[#This Row],[Correction_DuréeEffortIntense]])</f>
        <v>100.8</v>
      </c>
      <c r="K31" s="3">
        <f>IF(K30&lt;($B$3+$B$4)*60,K30+Tableau146912[[#This Row],[Durée_Corrigée]],K30)</f>
        <v>880.8</v>
      </c>
      <c r="L31" s="3">
        <f>IF(K30&gt;$C$3+$C$4,"",$B$8)</f>
        <v>13</v>
      </c>
      <c r="M31" s="3">
        <f>IF(K30&gt;$C$3+$C$4,"",$B$11)</f>
        <v>33</v>
      </c>
    </row>
    <row r="32" spans="2:13" x14ac:dyDescent="0.25">
      <c r="B32" s="15"/>
      <c r="C32" s="3">
        <v>4</v>
      </c>
      <c r="D32" s="3" t="s">
        <v>7</v>
      </c>
      <c r="E32" s="3">
        <f>IF(K31&gt;$C$3+$C$4,"",Tableau146912[[#This Row],[cumul_temps]]/60)</f>
        <v>16.48</v>
      </c>
      <c r="F32" s="3">
        <f t="shared" ref="F32" si="9">IF(K31&gt;$C$3+$C$4,"",60*$B$14)</f>
        <v>108</v>
      </c>
      <c r="H32" s="13"/>
      <c r="I32" s="13"/>
      <c r="J32" s="13"/>
      <c r="K32" s="3">
        <f>IF(K31&lt;($B$3+$B$4)*60,K31+Tableau146912[[#This Row],[duree_standard]],K31)</f>
        <v>988.8</v>
      </c>
      <c r="L32" s="3">
        <f t="shared" ref="L32:L63" si="10">IF(K31&gt;$C$3+$C$4,"",$B$7)</f>
        <v>6</v>
      </c>
      <c r="M32" s="3">
        <f t="shared" ref="M32:M63" si="11">IF(K31&gt;$C$3+$C$4,"",$B$10)</f>
        <v>25</v>
      </c>
    </row>
    <row r="33" spans="2:13" x14ac:dyDescent="0.25">
      <c r="B33" s="15"/>
      <c r="C33" s="3">
        <v>5</v>
      </c>
      <c r="D33" s="3" t="s">
        <v>27</v>
      </c>
      <c r="E33" s="3">
        <f>IF(K32&gt;$C$3+$C$4,"",Tableau146912[[#This Row],[cumul_temps]]/60)</f>
        <v>19.12</v>
      </c>
      <c r="F33" s="3">
        <f t="shared" ref="F33" si="12">IF(K32&gt;$C$3+$C$4,"",60*$B$13)</f>
        <v>144</v>
      </c>
      <c r="G33" s="3">
        <f t="shared" ref="G33" si="13">IF(K32&gt;$C$3+$C$4,"",G31+1)</f>
        <v>3</v>
      </c>
      <c r="H33" s="13">
        <f t="shared" ref="H33" si="14">IF(K32&gt;$C$3+$C$4,"",(K32-$G$26)/$C$4)</f>
        <v>0.23999999999999996</v>
      </c>
      <c r="I33" s="13">
        <f>IF(K32&gt;$C$3+$C$4,"",ROUND(IF(Tableau146912[[#This Row],[Temps_Ref]]&gt;0,($F$13*Tableau146912[[#This Row],[Temps_Ref]]^4+$G$13*Tableau146912[[#This Row],[Temps_Ref]]^3+$H$13*Tableau146912[[#This Row],[Temps_Ref]]^2+$I$13)/$J$13,0),1))</f>
        <v>1.1000000000000001</v>
      </c>
      <c r="J33" s="3">
        <f>IF(K32&gt;$C$3+$C$4,"",Tableau146912[[#This Row],[duree_standard]]*Tableau146912[[#This Row],[Correction_DuréeEffortIntense]])</f>
        <v>158.4</v>
      </c>
      <c r="K33" s="3">
        <f>IF(K32&lt;($B$3+$B$4)*60,K32+Tableau146912[[#This Row],[Durée_Corrigée]],K32)</f>
        <v>1147.2</v>
      </c>
      <c r="L33" s="3">
        <f t="shared" ref="L33:L64" si="15">IF(K32&gt;$C$3+$C$4,"",$B$8)</f>
        <v>13</v>
      </c>
      <c r="M33" s="3">
        <f t="shared" ref="M33:M64" si="16">IF(K32&gt;$C$3+$C$4,"",$B$11)</f>
        <v>33</v>
      </c>
    </row>
    <row r="34" spans="2:13" x14ac:dyDescent="0.25">
      <c r="B34" s="15"/>
      <c r="C34" s="3">
        <v>6</v>
      </c>
      <c r="D34" s="3" t="s">
        <v>7</v>
      </c>
      <c r="E34" s="3">
        <f>IF(K33&gt;$C$3+$C$4,"",Tableau146912[[#This Row],[cumul_temps]]/60)</f>
        <v>20.92</v>
      </c>
      <c r="F34" s="3">
        <f t="shared" ref="F34" si="17">IF(K33&gt;$C$3+$C$4,"",60*$B$14)</f>
        <v>108</v>
      </c>
      <c r="H34" s="13"/>
      <c r="I34" s="13"/>
      <c r="J34" s="13"/>
      <c r="K34" s="3">
        <f>IF(K33&lt;($B$3+$B$4)*60,K33+Tableau146912[[#This Row],[duree_standard]],K33)</f>
        <v>1255.2</v>
      </c>
      <c r="L34" s="3">
        <f t="shared" ref="L34:L65" si="18">IF(K33&gt;$C$3+$C$4,"",$B$7)</f>
        <v>6</v>
      </c>
      <c r="M34" s="3">
        <f t="shared" ref="M34:M65" si="19">IF(K33&gt;$C$3+$C$4,"",$B$10)</f>
        <v>25</v>
      </c>
    </row>
    <row r="35" spans="2:13" x14ac:dyDescent="0.25">
      <c r="B35" s="15"/>
      <c r="C35" s="3">
        <v>7</v>
      </c>
      <c r="D35" s="3" t="s">
        <v>27</v>
      </c>
      <c r="E35" s="3">
        <f>IF(K34&gt;$C$3+$C$4,"",Tableau146912[[#This Row],[cumul_temps]]/60)</f>
        <v>25</v>
      </c>
      <c r="F35" s="3">
        <f t="shared" ref="F35" si="20">IF(K34&gt;$C$3+$C$4,"",60*$B$13)</f>
        <v>144</v>
      </c>
      <c r="G35" s="3">
        <f t="shared" ref="G35" si="21">IF(K34&gt;$C$3+$C$4,"",G33+1)</f>
        <v>4</v>
      </c>
      <c r="H35" s="13">
        <f t="shared" ref="H35" si="22">IF(K34&gt;$C$3+$C$4,"",(K34-$G$26)/$C$4)</f>
        <v>0.4044444444444445</v>
      </c>
      <c r="I35" s="13">
        <f>IF(K34&gt;$C$3+$C$4,"",ROUND(IF(Tableau146912[[#This Row],[Temps_Ref]]&gt;0,($F$13*Tableau146912[[#This Row],[Temps_Ref]]^4+$G$13*Tableau146912[[#This Row],[Temps_Ref]]^3+$H$13*Tableau146912[[#This Row],[Temps_Ref]]^2+$I$13)/$J$13,0),1))</f>
        <v>1.7</v>
      </c>
      <c r="J35" s="3">
        <f>IF(K34&gt;$C$3+$C$4,"",Tableau146912[[#This Row],[duree_standard]]*Tableau146912[[#This Row],[Correction_DuréeEffortIntense]])</f>
        <v>244.79999999999998</v>
      </c>
      <c r="K35" s="3">
        <f>IF(K34&lt;($B$3+$B$4)*60,K34+Tableau146912[[#This Row],[Durée_Corrigée]],K34)</f>
        <v>1500</v>
      </c>
      <c r="L35" s="3">
        <f t="shared" ref="L35:L66" si="23">IF(K34&gt;$C$3+$C$4,"",$B$8)</f>
        <v>13</v>
      </c>
      <c r="M35" s="3">
        <f t="shared" ref="M35:M66" si="24">IF(K34&gt;$C$3+$C$4,"",$B$11)</f>
        <v>33</v>
      </c>
    </row>
    <row r="36" spans="2:13" x14ac:dyDescent="0.25">
      <c r="B36" s="15"/>
      <c r="C36" s="3">
        <v>8</v>
      </c>
      <c r="D36" s="3" t="s">
        <v>7</v>
      </c>
      <c r="E36" s="3">
        <f>IF(K35&gt;$C$3+$C$4,"",Tableau146912[[#This Row],[cumul_temps]]/60)</f>
        <v>26.8</v>
      </c>
      <c r="F36" s="3">
        <f t="shared" ref="F36" si="25">IF(K35&gt;$C$3+$C$4,"",60*$B$14)</f>
        <v>108</v>
      </c>
      <c r="H36" s="13"/>
      <c r="I36" s="13"/>
      <c r="J36" s="13"/>
      <c r="K36" s="3">
        <f>IF(K35&lt;($B$3+$B$4)*60,K35+Tableau146912[[#This Row],[duree_standard]],K35)</f>
        <v>1608</v>
      </c>
      <c r="L36" s="3">
        <f t="shared" ref="L36:L67" si="26">IF(K35&gt;$C$3+$C$4,"",$B$7)</f>
        <v>6</v>
      </c>
      <c r="M36" s="3">
        <f t="shared" ref="M36:M67" si="27">IF(K35&gt;$C$3+$C$4,"",$B$10)</f>
        <v>25</v>
      </c>
    </row>
    <row r="37" spans="2:13" x14ac:dyDescent="0.25">
      <c r="B37" s="15"/>
      <c r="C37" s="3">
        <v>9</v>
      </c>
      <c r="D37" s="3" t="s">
        <v>27</v>
      </c>
      <c r="E37" s="3">
        <f>IF(K36&gt;$C$3+$C$4,"",Tableau146912[[#This Row],[cumul_temps]]/60)</f>
        <v>31.6</v>
      </c>
      <c r="F37" s="3">
        <f t="shared" ref="F37" si="28">IF(K36&gt;$C$3+$C$4,"",60*$B$13)</f>
        <v>144</v>
      </c>
      <c r="G37" s="3">
        <f t="shared" ref="G37" si="29">IF(K36&gt;$C$3+$C$4,"",G35+1)</f>
        <v>5</v>
      </c>
      <c r="H37" s="13">
        <f t="shared" ref="H37" si="30">IF(K36&gt;$C$3+$C$4,"",(K36-$G$26)/$C$4)</f>
        <v>0.62222222222222223</v>
      </c>
      <c r="I37" s="13">
        <f>IF(K36&gt;$C$3+$C$4,"",ROUND(IF(Tableau146912[[#This Row],[Temps_Ref]]&gt;0,($F$13*Tableau146912[[#This Row],[Temps_Ref]]^4+$G$13*Tableau146912[[#This Row],[Temps_Ref]]^3+$H$13*Tableau146912[[#This Row],[Temps_Ref]]^2+$I$13)/$J$13,0),1))</f>
        <v>2</v>
      </c>
      <c r="J37" s="3">
        <f>IF(K36&gt;$C$3+$C$4,"",Tableau146912[[#This Row],[duree_standard]]*Tableau146912[[#This Row],[Correction_DuréeEffortIntense]])</f>
        <v>288</v>
      </c>
      <c r="K37" s="3">
        <f>IF(K36&lt;($B$3+$B$4)*60,K36+Tableau146912[[#This Row],[Durée_Corrigée]],K36)</f>
        <v>1896</v>
      </c>
      <c r="L37" s="3">
        <f t="shared" ref="L37:L68" si="31">IF(K36&gt;$C$3+$C$4,"",$B$8)</f>
        <v>13</v>
      </c>
      <c r="M37" s="3">
        <f t="shared" ref="M37:M68" si="32">IF(K36&gt;$C$3+$C$4,"",$B$11)</f>
        <v>33</v>
      </c>
    </row>
    <row r="38" spans="2:13" x14ac:dyDescent="0.25">
      <c r="B38" s="15"/>
      <c r="C38" s="3">
        <v>10</v>
      </c>
      <c r="D38" s="3" t="s">
        <v>7</v>
      </c>
      <c r="E38" s="3">
        <f>IF(K37&gt;$C$3+$C$4,"",Tableau146912[[#This Row],[cumul_temps]]/60)</f>
        <v>33.4</v>
      </c>
      <c r="F38" s="3">
        <f t="shared" ref="F38" si="33">IF(K37&gt;$C$3+$C$4,"",60*$B$14)</f>
        <v>108</v>
      </c>
      <c r="H38" s="13"/>
      <c r="I38" s="13"/>
      <c r="J38" s="13"/>
      <c r="K38" s="3">
        <f>IF(K37&lt;($B$3+$B$4)*60,K37+Tableau146912[[#This Row],[duree_standard]],K37)</f>
        <v>2004</v>
      </c>
      <c r="L38" s="3">
        <f t="shared" ref="L38:L69" si="34">IF(K37&gt;$C$3+$C$4,"",$B$7)</f>
        <v>6</v>
      </c>
      <c r="M38" s="3">
        <f t="shared" ref="M38:M69" si="35">IF(K37&gt;$C$3+$C$4,"",$B$10)</f>
        <v>25</v>
      </c>
    </row>
    <row r="39" spans="2:13" x14ac:dyDescent="0.25">
      <c r="B39" s="15"/>
      <c r="C39" s="3">
        <v>11</v>
      </c>
      <c r="D39" s="3" t="s">
        <v>27</v>
      </c>
      <c r="E39" s="3">
        <f>IF(K38&gt;$C$3+$C$4,"",Tableau146912[[#This Row],[cumul_temps]]/60)</f>
        <v>37</v>
      </c>
      <c r="F39" s="3">
        <f t="shared" ref="F39" si="36">IF(K38&gt;$C$3+$C$4,"",60*$B$13)</f>
        <v>144</v>
      </c>
      <c r="G39" s="3">
        <f t="shared" ref="G39" si="37">IF(K38&gt;$C$3+$C$4,"",G37+1)</f>
        <v>6</v>
      </c>
      <c r="H39" s="13">
        <f t="shared" ref="H39" si="38">IF(K38&gt;$C$3+$C$4,"",(K38-$G$26)/$C$4)</f>
        <v>0.8666666666666667</v>
      </c>
      <c r="I39" s="13">
        <f>IF(K38&gt;$C$3+$C$4,"",ROUND(IF(Tableau146912[[#This Row],[Temps_Ref]]&gt;0,($F$13*Tableau146912[[#This Row],[Temps_Ref]]^4+$G$13*Tableau146912[[#This Row],[Temps_Ref]]^3+$H$13*Tableau146912[[#This Row],[Temps_Ref]]^2+$I$13)/$J$13,0),1))</f>
        <v>1.5</v>
      </c>
      <c r="J39" s="3">
        <f>IF(K38&gt;$C$3+$C$4,"",Tableau146912[[#This Row],[duree_standard]]*Tableau146912[[#This Row],[Correction_DuréeEffortIntense]])</f>
        <v>216</v>
      </c>
      <c r="K39" s="3">
        <f>IF(K38&lt;($B$3+$B$4)*60,K38+Tableau146912[[#This Row],[Durée_Corrigée]],K38)</f>
        <v>2220</v>
      </c>
      <c r="L39" s="3">
        <f t="shared" ref="L39:L70" si="39">IF(K38&gt;$C$3+$C$4,"",$B$8)</f>
        <v>13</v>
      </c>
      <c r="M39" s="3">
        <f t="shared" ref="M39:M70" si="40">IF(K38&gt;$C$3+$C$4,"",$B$11)</f>
        <v>33</v>
      </c>
    </row>
    <row r="40" spans="2:13" x14ac:dyDescent="0.25">
      <c r="B40" s="15"/>
      <c r="C40" s="3">
        <v>12</v>
      </c>
      <c r="D40" s="3" t="s">
        <v>7</v>
      </c>
      <c r="E40" s="3">
        <f>IF(K39&gt;$C$3+$C$4,"",Tableau146912[[#This Row],[cumul_temps]]/60)</f>
        <v>37</v>
      </c>
      <c r="F40" s="3">
        <f t="shared" ref="F40" si="41">IF(K39&gt;$C$3+$C$4,"",60*$B$14)</f>
        <v>108</v>
      </c>
      <c r="H40" s="13"/>
      <c r="I40" s="13"/>
      <c r="J40" s="13"/>
      <c r="K40" s="3">
        <f>IF(K39&lt;($B$3+$B$4)*60,K39+Tableau146912[[#This Row],[duree_standard]],K39)</f>
        <v>2220</v>
      </c>
      <c r="L40" s="3">
        <f t="shared" ref="L40:L71" si="42">IF(K39&gt;$C$3+$C$4,"",$B$7)</f>
        <v>6</v>
      </c>
      <c r="M40" s="3">
        <f t="shared" ref="M40:M71" si="43">IF(K39&gt;$C$3+$C$4,"",$B$10)</f>
        <v>25</v>
      </c>
    </row>
    <row r="41" spans="2:13" x14ac:dyDescent="0.25">
      <c r="B41" s="15"/>
      <c r="C41" s="3">
        <v>13</v>
      </c>
      <c r="D41" s="3" t="s">
        <v>27</v>
      </c>
      <c r="E41" s="3">
        <f>IF(K40&gt;$C$3+$C$4,"",Tableau146912[[#This Row],[cumul_temps]]/60)</f>
        <v>37</v>
      </c>
      <c r="F41" s="3">
        <f t="shared" ref="F41" si="44">IF(K40&gt;$C$3+$C$4,"",60*$B$13)</f>
        <v>144</v>
      </c>
      <c r="G41" s="3">
        <f t="shared" ref="G41" si="45">IF(K40&gt;$C$3+$C$4,"",G39+1)</f>
        <v>7</v>
      </c>
      <c r="H41" s="13">
        <f t="shared" ref="H41" si="46">IF(K40&gt;$C$3+$C$4,"",(K40-$G$26)/$C$4)</f>
        <v>1</v>
      </c>
      <c r="I41" s="13">
        <f>IF(K40&gt;$C$3+$C$4,"",ROUND(IF(Tableau146912[[#This Row],[Temps_Ref]]&gt;0,($F$13*Tableau146912[[#This Row],[Temps_Ref]]^4+$G$13*Tableau146912[[#This Row],[Temps_Ref]]^3+$H$13*Tableau146912[[#This Row],[Temps_Ref]]^2+$I$13)/$J$13,0),1))</f>
        <v>1</v>
      </c>
      <c r="J41" s="3">
        <f>IF(K40&gt;$C$3+$C$4,"",Tableau146912[[#This Row],[duree_standard]]*Tableau146912[[#This Row],[Correction_DuréeEffortIntense]])</f>
        <v>144</v>
      </c>
      <c r="K41" s="3">
        <f>IF(K40&lt;($B$3+$B$4)*60,K40+Tableau146912[[#This Row],[Durée_Corrigée]],K40)</f>
        <v>2220</v>
      </c>
      <c r="L41" s="3">
        <f t="shared" ref="L41:L72" si="47">IF(K40&gt;$C$3+$C$4,"",$B$8)</f>
        <v>13</v>
      </c>
      <c r="M41" s="3">
        <f t="shared" ref="M41:M72" si="48">IF(K40&gt;$C$3+$C$4,"",$B$11)</f>
        <v>33</v>
      </c>
    </row>
    <row r="42" spans="2:13" x14ac:dyDescent="0.25">
      <c r="B42" s="15"/>
      <c r="C42" s="3">
        <v>14</v>
      </c>
      <c r="D42" s="3" t="s">
        <v>7</v>
      </c>
      <c r="E42" s="3">
        <f>IF(K41&gt;$C$3+$C$4,"",Tableau146912[[#This Row],[cumul_temps]]/60)</f>
        <v>37</v>
      </c>
      <c r="F42" s="3">
        <f t="shared" ref="F42" si="49">IF(K41&gt;$C$3+$C$4,"",60*$B$14)</f>
        <v>108</v>
      </c>
      <c r="H42" s="13"/>
      <c r="I42" s="13"/>
      <c r="J42" s="13"/>
      <c r="K42" s="3">
        <f>IF(K41&lt;($B$3+$B$4)*60,K41+Tableau146912[[#This Row],[duree_standard]],K41)</f>
        <v>2220</v>
      </c>
      <c r="L42" s="3">
        <f t="shared" ref="L42:L73" si="50">IF(K41&gt;$C$3+$C$4,"",$B$7)</f>
        <v>6</v>
      </c>
      <c r="M42" s="3">
        <f t="shared" ref="M42:M73" si="51">IF(K41&gt;$C$3+$C$4,"",$B$10)</f>
        <v>25</v>
      </c>
    </row>
    <row r="43" spans="2:13" x14ac:dyDescent="0.25">
      <c r="B43" s="15"/>
      <c r="C43" s="3">
        <v>15</v>
      </c>
      <c r="D43" s="3" t="s">
        <v>27</v>
      </c>
      <c r="E43" s="3">
        <f>IF(K42&gt;$C$3+$C$4,"",Tableau146912[[#This Row],[cumul_temps]]/60)</f>
        <v>37</v>
      </c>
      <c r="F43" s="3">
        <f t="shared" ref="F43" si="52">IF(K42&gt;$C$3+$C$4,"",60*$B$13)</f>
        <v>144</v>
      </c>
      <c r="G43" s="3">
        <f t="shared" ref="G43" si="53">IF(K42&gt;$C$3+$C$4,"",G41+1)</f>
        <v>8</v>
      </c>
      <c r="H43" s="13">
        <f t="shared" ref="H43" si="54">IF(K42&gt;$C$3+$C$4,"",(K42-$G$26)/$C$4)</f>
        <v>1</v>
      </c>
      <c r="I43" s="13">
        <f>IF(K42&gt;$C$3+$C$4,"",ROUND(IF(Tableau146912[[#This Row],[Temps_Ref]]&gt;0,($F$13*Tableau146912[[#This Row],[Temps_Ref]]^4+$G$13*Tableau146912[[#This Row],[Temps_Ref]]^3+$H$13*Tableau146912[[#This Row],[Temps_Ref]]^2+$I$13)/$J$13,0),1))</f>
        <v>1</v>
      </c>
      <c r="J43" s="3">
        <f>IF(K42&gt;$C$3+$C$4,"",Tableau146912[[#This Row],[duree_standard]]*Tableau146912[[#This Row],[Correction_DuréeEffortIntense]])</f>
        <v>144</v>
      </c>
      <c r="K43" s="3">
        <f>IF(K42&lt;($B$3+$B$4)*60,K42+Tableau146912[[#This Row],[Durée_Corrigée]],K42)</f>
        <v>2220</v>
      </c>
      <c r="L43" s="3">
        <f t="shared" ref="L43:L74" si="55">IF(K42&gt;$C$3+$C$4,"",$B$8)</f>
        <v>13</v>
      </c>
      <c r="M43" s="3">
        <f t="shared" ref="M43:M74" si="56">IF(K42&gt;$C$3+$C$4,"",$B$11)</f>
        <v>33</v>
      </c>
    </row>
    <row r="44" spans="2:13" x14ac:dyDescent="0.25">
      <c r="B44" s="15"/>
      <c r="C44" s="3">
        <v>16</v>
      </c>
      <c r="D44" s="3" t="s">
        <v>7</v>
      </c>
      <c r="E44" s="3">
        <f>IF(K43&gt;$C$3+$C$4,"",Tableau146912[[#This Row],[cumul_temps]]/60)</f>
        <v>37</v>
      </c>
      <c r="F44" s="3">
        <f t="shared" ref="F44" si="57">IF(K43&gt;$C$3+$C$4,"",60*$B$14)</f>
        <v>108</v>
      </c>
      <c r="H44" s="13"/>
      <c r="I44" s="13"/>
      <c r="J44" s="13"/>
      <c r="K44" s="3">
        <f>IF(K43&lt;($B$3+$B$4)*60,K43+Tableau146912[[#This Row],[duree_standard]],K43)</f>
        <v>2220</v>
      </c>
      <c r="L44" s="3">
        <f t="shared" ref="L44:L75" si="58">IF(K43&gt;$C$3+$C$4,"",$B$7)</f>
        <v>6</v>
      </c>
      <c r="M44" s="3">
        <f t="shared" ref="M44:M75" si="59">IF(K43&gt;$C$3+$C$4,"",$B$10)</f>
        <v>25</v>
      </c>
    </row>
    <row r="45" spans="2:13" x14ac:dyDescent="0.25">
      <c r="B45" s="15"/>
      <c r="C45" s="3">
        <v>17</v>
      </c>
      <c r="D45" s="3" t="s">
        <v>27</v>
      </c>
      <c r="E45" s="3">
        <f>IF(K44&gt;$C$3+$C$4,"",Tableau146912[[#This Row],[cumul_temps]]/60)</f>
        <v>37</v>
      </c>
      <c r="F45" s="3">
        <f t="shared" ref="F45" si="60">IF(K44&gt;$C$3+$C$4,"",60*$B$13)</f>
        <v>144</v>
      </c>
      <c r="G45" s="3">
        <f t="shared" ref="G45" si="61">IF(K44&gt;$C$3+$C$4,"",G43+1)</f>
        <v>9</v>
      </c>
      <c r="H45" s="13">
        <f t="shared" ref="H45" si="62">IF(K44&gt;$C$3+$C$4,"",(K44-$G$26)/$C$4)</f>
        <v>1</v>
      </c>
      <c r="I45" s="13">
        <f>IF(K44&gt;$C$3+$C$4,"",ROUND(IF(Tableau146912[[#This Row],[Temps_Ref]]&gt;0,($F$13*Tableau146912[[#This Row],[Temps_Ref]]^4+$G$13*Tableau146912[[#This Row],[Temps_Ref]]^3+$H$13*Tableau146912[[#This Row],[Temps_Ref]]^2+$I$13)/$J$13,0),1))</f>
        <v>1</v>
      </c>
      <c r="J45" s="3">
        <f>IF(K44&gt;$C$3+$C$4,"",Tableau146912[[#This Row],[duree_standard]]*Tableau146912[[#This Row],[Correction_DuréeEffortIntense]])</f>
        <v>144</v>
      </c>
      <c r="K45" s="3">
        <f>IF(K44&lt;($B$3+$B$4)*60,K44+Tableau146912[[#This Row],[Durée_Corrigée]],K44)</f>
        <v>2220</v>
      </c>
      <c r="L45" s="3">
        <f t="shared" ref="L45:L76" si="63">IF(K44&gt;$C$3+$C$4,"",$B$8)</f>
        <v>13</v>
      </c>
      <c r="M45" s="3">
        <f t="shared" ref="M45:M76" si="64">IF(K44&gt;$C$3+$C$4,"",$B$11)</f>
        <v>33</v>
      </c>
    </row>
    <row r="46" spans="2:13" x14ac:dyDescent="0.25">
      <c r="B46" s="15"/>
      <c r="C46" s="3">
        <v>18</v>
      </c>
      <c r="D46" s="3" t="s">
        <v>7</v>
      </c>
      <c r="E46" s="3">
        <f>IF(K45&gt;$C$3+$C$4,"",Tableau146912[[#This Row],[cumul_temps]]/60)</f>
        <v>37</v>
      </c>
      <c r="F46" s="3">
        <f t="shared" ref="F46" si="65">IF(K45&gt;$C$3+$C$4,"",60*$B$14)</f>
        <v>108</v>
      </c>
      <c r="H46" s="13"/>
      <c r="I46" s="13"/>
      <c r="J46" s="13"/>
      <c r="K46" s="3">
        <f>IF(K45&lt;($B$3+$B$4)*60,K45+Tableau146912[[#This Row],[duree_standard]],K45)</f>
        <v>2220</v>
      </c>
      <c r="L46" s="3">
        <f t="shared" ref="L46:L77" si="66">IF(K45&gt;$C$3+$C$4,"",$B$7)</f>
        <v>6</v>
      </c>
      <c r="M46" s="3">
        <f t="shared" ref="M46:M77" si="67">IF(K45&gt;$C$3+$C$4,"",$B$10)</f>
        <v>25</v>
      </c>
    </row>
    <row r="47" spans="2:13" x14ac:dyDescent="0.25">
      <c r="B47" s="15"/>
      <c r="C47" s="3">
        <v>19</v>
      </c>
      <c r="D47" s="3" t="s">
        <v>27</v>
      </c>
      <c r="E47" s="3">
        <f>IF(K46&gt;$C$3+$C$4,"",Tableau146912[[#This Row],[cumul_temps]]/60)</f>
        <v>37</v>
      </c>
      <c r="F47" s="3">
        <f t="shared" ref="F47" si="68">IF(K46&gt;$C$3+$C$4,"",60*$B$13)</f>
        <v>144</v>
      </c>
      <c r="G47" s="3">
        <f t="shared" ref="G47" si="69">IF(K46&gt;$C$3+$C$4,"",G45+1)</f>
        <v>10</v>
      </c>
      <c r="H47" s="13">
        <f t="shared" ref="H47" si="70">IF(K46&gt;$C$3+$C$4,"",(K46-$G$26)/$C$4)</f>
        <v>1</v>
      </c>
      <c r="I47" s="13">
        <f>IF(K46&gt;$C$3+$C$4,"",ROUND(IF(Tableau146912[[#This Row],[Temps_Ref]]&gt;0,($F$13*Tableau146912[[#This Row],[Temps_Ref]]^4+$G$13*Tableau146912[[#This Row],[Temps_Ref]]^3+$H$13*Tableau146912[[#This Row],[Temps_Ref]]^2+$I$13)/$J$13,0),1))</f>
        <v>1</v>
      </c>
      <c r="J47" s="3">
        <f>IF(K46&gt;$C$3+$C$4,"",Tableau146912[[#This Row],[duree_standard]]*Tableau146912[[#This Row],[Correction_DuréeEffortIntense]])</f>
        <v>144</v>
      </c>
      <c r="K47" s="3">
        <f>IF(K46&lt;($B$3+$B$4)*60,K46+Tableau146912[[#This Row],[Durée_Corrigée]],K46)</f>
        <v>2220</v>
      </c>
      <c r="L47" s="3">
        <f t="shared" ref="L47:L78" si="71">IF(K46&gt;$C$3+$C$4,"",$B$8)</f>
        <v>13</v>
      </c>
      <c r="M47" s="3">
        <f t="shared" ref="M47:M78" si="72">IF(K46&gt;$C$3+$C$4,"",$B$11)</f>
        <v>33</v>
      </c>
    </row>
    <row r="48" spans="2:13" x14ac:dyDescent="0.25">
      <c r="B48" s="15"/>
      <c r="C48" s="3">
        <v>20</v>
      </c>
      <c r="D48" s="3" t="s">
        <v>7</v>
      </c>
      <c r="E48" s="3">
        <f>IF(K47&gt;$C$3+$C$4,"",Tableau146912[[#This Row],[cumul_temps]]/60)</f>
        <v>37</v>
      </c>
      <c r="F48" s="3">
        <f t="shared" ref="F48" si="73">IF(K47&gt;$C$3+$C$4,"",60*$B$14)</f>
        <v>108</v>
      </c>
      <c r="H48" s="13"/>
      <c r="I48" s="13"/>
      <c r="J48" s="13"/>
      <c r="K48" s="3">
        <f>IF(K47&lt;($B$3+$B$4)*60,K47+Tableau146912[[#This Row],[duree_standard]],K47)</f>
        <v>2220</v>
      </c>
      <c r="L48" s="3">
        <f t="shared" ref="L48:L79" si="74">IF(K47&gt;$C$3+$C$4,"",$B$7)</f>
        <v>6</v>
      </c>
      <c r="M48" s="3">
        <f t="shared" ref="M48:M79" si="75">IF(K47&gt;$C$3+$C$4,"",$B$10)</f>
        <v>25</v>
      </c>
    </row>
    <row r="49" spans="2:13" x14ac:dyDescent="0.25">
      <c r="B49" s="15"/>
      <c r="C49" s="3">
        <v>21</v>
      </c>
      <c r="D49" s="3" t="s">
        <v>27</v>
      </c>
      <c r="E49" s="3">
        <f>IF(K48&gt;$C$3+$C$4,"",Tableau146912[[#This Row],[cumul_temps]]/60)</f>
        <v>37</v>
      </c>
      <c r="F49" s="3">
        <f t="shared" ref="F49" si="76">IF(K48&gt;$C$3+$C$4,"",60*$B$13)</f>
        <v>144</v>
      </c>
      <c r="G49" s="3">
        <f t="shared" ref="G49" si="77">IF(K48&gt;$C$3+$C$4,"",G47+1)</f>
        <v>11</v>
      </c>
      <c r="H49" s="13">
        <f t="shared" ref="H49" si="78">IF(K48&gt;$C$3+$C$4,"",(K48-$G$26)/$C$4)</f>
        <v>1</v>
      </c>
      <c r="I49" s="13">
        <f>IF(K48&gt;$C$3+$C$4,"",ROUND(IF(Tableau146912[[#This Row],[Temps_Ref]]&gt;0,($F$13*Tableau146912[[#This Row],[Temps_Ref]]^4+$G$13*Tableau146912[[#This Row],[Temps_Ref]]^3+$H$13*Tableau146912[[#This Row],[Temps_Ref]]^2+$I$13)/$J$13,0),1))</f>
        <v>1</v>
      </c>
      <c r="J49" s="3">
        <f>IF(K48&gt;$C$3+$C$4,"",Tableau146912[[#This Row],[duree_standard]]*Tableau146912[[#This Row],[Correction_DuréeEffortIntense]])</f>
        <v>144</v>
      </c>
      <c r="K49" s="3">
        <f>IF(K48&lt;($B$3+$B$4)*60,K48+Tableau146912[[#This Row],[Durée_Corrigée]],K48)</f>
        <v>2220</v>
      </c>
      <c r="L49" s="3">
        <f t="shared" ref="L49:L96" si="79">IF(K48&gt;$C$3+$C$4,"",$B$8)</f>
        <v>13</v>
      </c>
      <c r="M49" s="3">
        <f t="shared" ref="M49:M96" si="80">IF(K48&gt;$C$3+$C$4,"",$B$11)</f>
        <v>33</v>
      </c>
    </row>
    <row r="50" spans="2:13" x14ac:dyDescent="0.25">
      <c r="B50" s="15"/>
      <c r="C50" s="3">
        <v>22</v>
      </c>
      <c r="D50" s="3" t="s">
        <v>7</v>
      </c>
      <c r="E50" s="3">
        <f>IF(K49&gt;$C$3+$C$4,"",Tableau146912[[#This Row],[cumul_temps]]/60)</f>
        <v>37</v>
      </c>
      <c r="F50" s="3">
        <f t="shared" ref="F50" si="81">IF(K49&gt;$C$3+$C$4,"",60*$B$14)</f>
        <v>108</v>
      </c>
      <c r="H50" s="13"/>
      <c r="I50" s="13"/>
      <c r="J50" s="13"/>
      <c r="K50" s="3">
        <f>IF(K49&lt;($B$3+$B$4)*60,K49+Tableau146912[[#This Row],[duree_standard]],K49)</f>
        <v>2220</v>
      </c>
      <c r="L50" s="3">
        <f t="shared" ref="L50:L96" si="82">IF(K49&gt;$C$3+$C$4,"",$B$7)</f>
        <v>6</v>
      </c>
      <c r="M50" s="3">
        <f t="shared" ref="M50:M96" si="83">IF(K49&gt;$C$3+$C$4,"",$B$10)</f>
        <v>25</v>
      </c>
    </row>
    <row r="51" spans="2:13" x14ac:dyDescent="0.25">
      <c r="B51" s="15"/>
      <c r="C51" s="3">
        <v>23</v>
      </c>
      <c r="D51" s="3" t="s">
        <v>27</v>
      </c>
      <c r="E51" s="3">
        <f>IF(K50&gt;$C$3+$C$4,"",Tableau146912[[#This Row],[cumul_temps]]/60)</f>
        <v>37</v>
      </c>
      <c r="F51" s="3">
        <f t="shared" ref="F51" si="84">IF(K50&gt;$C$3+$C$4,"",60*$B$13)</f>
        <v>144</v>
      </c>
      <c r="G51" s="3">
        <f t="shared" ref="G51" si="85">IF(K50&gt;$C$3+$C$4,"",G49+1)</f>
        <v>12</v>
      </c>
      <c r="H51" s="13">
        <f t="shared" ref="H51" si="86">IF(K50&gt;$C$3+$C$4,"",(K50-$G$26)/$C$4)</f>
        <v>1</v>
      </c>
      <c r="I51" s="13">
        <f>IF(K50&gt;$C$3+$C$4,"",ROUND(IF(Tableau146912[[#This Row],[Temps_Ref]]&gt;0,($F$13*Tableau146912[[#This Row],[Temps_Ref]]^4+$G$13*Tableau146912[[#This Row],[Temps_Ref]]^3+$H$13*Tableau146912[[#This Row],[Temps_Ref]]^2+$I$13)/$J$13,0),1))</f>
        <v>1</v>
      </c>
      <c r="J51" s="3">
        <f>IF(K50&gt;$C$3+$C$4,"",Tableau146912[[#This Row],[duree_standard]]*Tableau146912[[#This Row],[Correction_DuréeEffortIntense]])</f>
        <v>144</v>
      </c>
      <c r="K51" s="3">
        <f>IF(K50&lt;($B$3+$B$4)*60,K50+Tableau146912[[#This Row],[Durée_Corrigée]],K50)</f>
        <v>2220</v>
      </c>
      <c r="L51" s="3">
        <f t="shared" ref="L51:L96" si="87">IF(K50&gt;$C$3+$C$4,"",$B$8)</f>
        <v>13</v>
      </c>
      <c r="M51" s="3">
        <f t="shared" ref="M51:M96" si="88">IF(K50&gt;$C$3+$C$4,"",$B$11)</f>
        <v>33</v>
      </c>
    </row>
    <row r="52" spans="2:13" x14ac:dyDescent="0.25">
      <c r="B52" s="15"/>
      <c r="C52" s="3">
        <v>24</v>
      </c>
      <c r="D52" s="3" t="s">
        <v>7</v>
      </c>
      <c r="E52" s="3">
        <f>IF(K51&gt;$C$3+$C$4,"",Tableau146912[[#This Row],[cumul_temps]]/60)</f>
        <v>37</v>
      </c>
      <c r="F52" s="3">
        <f t="shared" ref="F52" si="89">IF(K51&gt;$C$3+$C$4,"",60*$B$14)</f>
        <v>108</v>
      </c>
      <c r="H52" s="13"/>
      <c r="I52" s="13"/>
      <c r="J52" s="13"/>
      <c r="K52" s="3">
        <f>IF(K51&lt;($B$3+$B$4)*60,K51+Tableau146912[[#This Row],[duree_standard]],K51)</f>
        <v>2220</v>
      </c>
      <c r="L52" s="3">
        <f t="shared" ref="L52:L96" si="90">IF(K51&gt;$C$3+$C$4,"",$B$7)</f>
        <v>6</v>
      </c>
      <c r="M52" s="3">
        <f t="shared" ref="M52:M96" si="91">IF(K51&gt;$C$3+$C$4,"",$B$10)</f>
        <v>25</v>
      </c>
    </row>
    <row r="53" spans="2:13" x14ac:dyDescent="0.25">
      <c r="B53" s="15"/>
      <c r="C53" s="3">
        <v>25</v>
      </c>
      <c r="D53" s="3" t="s">
        <v>27</v>
      </c>
      <c r="E53" s="3">
        <f>IF(K52&gt;$C$3+$C$4,"",Tableau146912[[#This Row],[cumul_temps]]/60)</f>
        <v>37</v>
      </c>
      <c r="F53" s="3">
        <f t="shared" ref="F53" si="92">IF(K52&gt;$C$3+$C$4,"",60*$B$13)</f>
        <v>144</v>
      </c>
      <c r="G53" s="3">
        <f t="shared" ref="G53" si="93">IF(K52&gt;$C$3+$C$4,"",G51+1)</f>
        <v>13</v>
      </c>
      <c r="H53" s="13">
        <f t="shared" ref="H53" si="94">IF(K52&gt;$C$3+$C$4,"",(K52-$G$26)/$C$4)</f>
        <v>1</v>
      </c>
      <c r="I53" s="13">
        <f>IF(K52&gt;$C$3+$C$4,"",ROUND(IF(Tableau146912[[#This Row],[Temps_Ref]]&gt;0,($F$13*Tableau146912[[#This Row],[Temps_Ref]]^4+$G$13*Tableau146912[[#This Row],[Temps_Ref]]^3+$H$13*Tableau146912[[#This Row],[Temps_Ref]]^2+$I$13)/$J$13,0),1))</f>
        <v>1</v>
      </c>
      <c r="J53" s="3">
        <f>IF(K52&gt;$C$3+$C$4,"",Tableau146912[[#This Row],[duree_standard]]*Tableau146912[[#This Row],[Correction_DuréeEffortIntense]])</f>
        <v>144</v>
      </c>
      <c r="K53" s="3">
        <f>IF(K52&lt;($B$3+$B$4)*60,K52+Tableau146912[[#This Row],[Durée_Corrigée]],K52)</f>
        <v>2220</v>
      </c>
      <c r="L53" s="3">
        <f t="shared" ref="L53:L96" si="95">IF(K52&gt;$C$3+$C$4,"",$B$8)</f>
        <v>13</v>
      </c>
      <c r="M53" s="3">
        <f t="shared" ref="M53:M96" si="96">IF(K52&gt;$C$3+$C$4,"",$B$11)</f>
        <v>33</v>
      </c>
    </row>
    <row r="54" spans="2:13" x14ac:dyDescent="0.25">
      <c r="B54" s="15"/>
      <c r="C54" s="3">
        <v>26</v>
      </c>
      <c r="D54" s="3" t="s">
        <v>7</v>
      </c>
      <c r="E54" s="3">
        <f>IF(K53&gt;$C$3+$C$4,"",Tableau146912[[#This Row],[cumul_temps]]/60)</f>
        <v>37</v>
      </c>
      <c r="F54" s="3">
        <f t="shared" ref="F54" si="97">IF(K53&gt;$C$3+$C$4,"",60*$B$14)</f>
        <v>108</v>
      </c>
      <c r="H54" s="13"/>
      <c r="I54" s="13"/>
      <c r="J54" s="13"/>
      <c r="K54" s="3">
        <f>IF(K53&lt;($B$3+$B$4)*60,K53+Tableau146912[[#This Row],[duree_standard]],K53)</f>
        <v>2220</v>
      </c>
      <c r="L54" s="3">
        <f t="shared" ref="L54:L96" si="98">IF(K53&gt;$C$3+$C$4,"",$B$7)</f>
        <v>6</v>
      </c>
      <c r="M54" s="3">
        <f t="shared" ref="M54:M96" si="99">IF(K53&gt;$C$3+$C$4,"",$B$10)</f>
        <v>25</v>
      </c>
    </row>
    <row r="55" spans="2:13" x14ac:dyDescent="0.25">
      <c r="B55" s="15"/>
      <c r="C55" s="3">
        <v>27</v>
      </c>
      <c r="D55" s="3" t="s">
        <v>27</v>
      </c>
      <c r="E55" s="3">
        <f>IF(K54&gt;$C$3+$C$4,"",Tableau146912[[#This Row],[cumul_temps]]/60)</f>
        <v>37</v>
      </c>
      <c r="F55" s="3">
        <f t="shared" ref="F55" si="100">IF(K54&gt;$C$3+$C$4,"",60*$B$13)</f>
        <v>144</v>
      </c>
      <c r="G55" s="3">
        <f t="shared" ref="G55" si="101">IF(K54&gt;$C$3+$C$4,"",G53+1)</f>
        <v>14</v>
      </c>
      <c r="H55" s="13">
        <f t="shared" ref="H55" si="102">IF(K54&gt;$C$3+$C$4,"",(K54-$G$26)/$C$4)</f>
        <v>1</v>
      </c>
      <c r="I55" s="13">
        <f>IF(K54&gt;$C$3+$C$4,"",ROUND(IF(Tableau146912[[#This Row],[Temps_Ref]]&gt;0,($F$13*Tableau146912[[#This Row],[Temps_Ref]]^4+$G$13*Tableau146912[[#This Row],[Temps_Ref]]^3+$H$13*Tableau146912[[#This Row],[Temps_Ref]]^2+$I$13)/$J$13,0),1))</f>
        <v>1</v>
      </c>
      <c r="J55" s="3">
        <f>IF(K54&gt;$C$3+$C$4,"",Tableau146912[[#This Row],[duree_standard]]*Tableau146912[[#This Row],[Correction_DuréeEffortIntense]])</f>
        <v>144</v>
      </c>
      <c r="K55" s="3">
        <f>IF(K54&lt;($B$3+$B$4)*60,K54+Tableau146912[[#This Row],[Durée_Corrigée]],K54)</f>
        <v>2220</v>
      </c>
      <c r="L55" s="3">
        <f t="shared" ref="L55:L96" si="103">IF(K54&gt;$C$3+$C$4,"",$B$8)</f>
        <v>13</v>
      </c>
      <c r="M55" s="3">
        <f t="shared" ref="M55:M96" si="104">IF(K54&gt;$C$3+$C$4,"",$B$11)</f>
        <v>33</v>
      </c>
    </row>
    <row r="56" spans="2:13" x14ac:dyDescent="0.25">
      <c r="B56" s="15"/>
      <c r="C56" s="3">
        <v>28</v>
      </c>
      <c r="D56" s="3" t="s">
        <v>7</v>
      </c>
      <c r="E56" s="3">
        <f>IF(K55&gt;$C$3+$C$4,"",Tableau146912[[#This Row],[cumul_temps]]/60)</f>
        <v>37</v>
      </c>
      <c r="F56" s="3">
        <f t="shared" ref="F56" si="105">IF(K55&gt;$C$3+$C$4,"",60*$B$14)</f>
        <v>108</v>
      </c>
      <c r="H56" s="13"/>
      <c r="I56" s="13"/>
      <c r="J56" s="13"/>
      <c r="K56" s="3">
        <f>IF(K55&lt;($B$3+$B$4)*60,K55+Tableau146912[[#This Row],[duree_standard]],K55)</f>
        <v>2220</v>
      </c>
      <c r="L56" s="3">
        <f t="shared" ref="L56:L96" si="106">IF(K55&gt;$C$3+$C$4,"",$B$7)</f>
        <v>6</v>
      </c>
      <c r="M56" s="3">
        <f t="shared" ref="M56:M96" si="107">IF(K55&gt;$C$3+$C$4,"",$B$10)</f>
        <v>25</v>
      </c>
    </row>
    <row r="57" spans="2:13" x14ac:dyDescent="0.25">
      <c r="B57" s="15"/>
      <c r="C57" s="3">
        <v>29</v>
      </c>
      <c r="D57" s="3" t="s">
        <v>27</v>
      </c>
      <c r="E57" s="3">
        <f>IF(K56&gt;$C$3+$C$4,"",Tableau146912[[#This Row],[cumul_temps]]/60)</f>
        <v>37</v>
      </c>
      <c r="F57" s="3">
        <f t="shared" ref="F57" si="108">IF(K56&gt;$C$3+$C$4,"",60*$B$13)</f>
        <v>144</v>
      </c>
      <c r="G57" s="3">
        <f t="shared" ref="G57" si="109">IF(K56&gt;$C$3+$C$4,"",G55+1)</f>
        <v>15</v>
      </c>
      <c r="H57" s="13">
        <f t="shared" ref="H57" si="110">IF(K56&gt;$C$3+$C$4,"",(K56-$G$26)/$C$4)</f>
        <v>1</v>
      </c>
      <c r="I57" s="13">
        <f>IF(K56&gt;$C$3+$C$4,"",ROUND(IF(Tableau146912[[#This Row],[Temps_Ref]]&gt;0,($F$13*Tableau146912[[#This Row],[Temps_Ref]]^4+$G$13*Tableau146912[[#This Row],[Temps_Ref]]^3+$H$13*Tableau146912[[#This Row],[Temps_Ref]]^2+$I$13)/$J$13,0),1))</f>
        <v>1</v>
      </c>
      <c r="J57" s="3">
        <f>IF(K56&gt;$C$3+$C$4,"",Tableau146912[[#This Row],[duree_standard]]*Tableau146912[[#This Row],[Correction_DuréeEffortIntense]])</f>
        <v>144</v>
      </c>
      <c r="K57" s="3">
        <f>IF(K56&lt;($B$3+$B$4)*60,K56+Tableau146912[[#This Row],[Durée_Corrigée]],K56)</f>
        <v>2220</v>
      </c>
      <c r="L57" s="3">
        <f t="shared" ref="L57:L96" si="111">IF(K56&gt;$C$3+$C$4,"",$B$8)</f>
        <v>13</v>
      </c>
      <c r="M57" s="3">
        <f t="shared" ref="M57:M96" si="112">IF(K56&gt;$C$3+$C$4,"",$B$11)</f>
        <v>33</v>
      </c>
    </row>
    <row r="58" spans="2:13" x14ac:dyDescent="0.25">
      <c r="B58" s="15"/>
      <c r="C58" s="3">
        <v>30</v>
      </c>
      <c r="D58" s="3" t="s">
        <v>7</v>
      </c>
      <c r="E58" s="3">
        <f>IF(K57&gt;$C$3+$C$4,"",Tableau146912[[#This Row],[cumul_temps]]/60)</f>
        <v>37</v>
      </c>
      <c r="F58" s="3">
        <f t="shared" ref="F58" si="113">IF(K57&gt;$C$3+$C$4,"",60*$B$14)</f>
        <v>108</v>
      </c>
      <c r="H58" s="13"/>
      <c r="I58" s="13"/>
      <c r="J58" s="13"/>
      <c r="K58" s="3">
        <f>IF(K57&lt;($B$3+$B$4)*60,K57+Tableau146912[[#This Row],[duree_standard]],K57)</f>
        <v>2220</v>
      </c>
      <c r="L58" s="3">
        <f t="shared" ref="L58:L96" si="114">IF(K57&gt;$C$3+$C$4,"",$B$7)</f>
        <v>6</v>
      </c>
      <c r="M58" s="3">
        <f t="shared" ref="M58:M96" si="115">IF(K57&gt;$C$3+$C$4,"",$B$10)</f>
        <v>25</v>
      </c>
    </row>
    <row r="59" spans="2:13" x14ac:dyDescent="0.25">
      <c r="B59" s="15"/>
      <c r="C59" s="3">
        <v>31</v>
      </c>
      <c r="D59" s="3" t="s">
        <v>27</v>
      </c>
      <c r="E59" s="3">
        <f>IF(K58&gt;$C$3+$C$4,"",Tableau146912[[#This Row],[cumul_temps]]/60)</f>
        <v>37</v>
      </c>
      <c r="F59" s="3">
        <f t="shared" ref="F59" si="116">IF(K58&gt;$C$3+$C$4,"",60*$B$13)</f>
        <v>144</v>
      </c>
      <c r="G59" s="3">
        <f t="shared" ref="G59" si="117">IF(K58&gt;$C$3+$C$4,"",G57+1)</f>
        <v>16</v>
      </c>
      <c r="H59" s="13">
        <f t="shared" ref="H59" si="118">IF(K58&gt;$C$3+$C$4,"",(K58-$G$26)/$C$4)</f>
        <v>1</v>
      </c>
      <c r="I59" s="13">
        <f>IF(K58&gt;$C$3+$C$4,"",ROUND(IF(Tableau146912[[#This Row],[Temps_Ref]]&gt;0,($F$13*Tableau146912[[#This Row],[Temps_Ref]]^4+$G$13*Tableau146912[[#This Row],[Temps_Ref]]^3+$H$13*Tableau146912[[#This Row],[Temps_Ref]]^2+$I$13)/$J$13,0),1))</f>
        <v>1</v>
      </c>
      <c r="J59" s="3">
        <f>IF(K58&gt;$C$3+$C$4,"",Tableau146912[[#This Row],[duree_standard]]*Tableau146912[[#This Row],[Correction_DuréeEffortIntense]])</f>
        <v>144</v>
      </c>
      <c r="K59" s="3">
        <f>IF(K58&lt;($B$3+$B$4)*60,K58+Tableau146912[[#This Row],[Durée_Corrigée]],K58)</f>
        <v>2220</v>
      </c>
      <c r="L59" s="3">
        <f t="shared" ref="L59:L96" si="119">IF(K58&gt;$C$3+$C$4,"",$B$8)</f>
        <v>13</v>
      </c>
      <c r="M59" s="3">
        <f t="shared" ref="M59:M96" si="120">IF(K58&gt;$C$3+$C$4,"",$B$11)</f>
        <v>33</v>
      </c>
    </row>
    <row r="60" spans="2:13" x14ac:dyDescent="0.25">
      <c r="B60" s="15"/>
      <c r="C60" s="3">
        <v>32</v>
      </c>
      <c r="D60" s="3" t="s">
        <v>7</v>
      </c>
      <c r="E60" s="3">
        <f>IF(K59&gt;$C$3+$C$4,"",Tableau146912[[#This Row],[cumul_temps]]/60)</f>
        <v>37</v>
      </c>
      <c r="F60" s="3">
        <f t="shared" ref="F60" si="121">IF(K59&gt;$C$3+$C$4,"",60*$B$14)</f>
        <v>108</v>
      </c>
      <c r="H60" s="13"/>
      <c r="I60" s="13"/>
      <c r="J60" s="13"/>
      <c r="K60" s="3">
        <f>IF(K59&lt;($B$3+$B$4)*60,K59+Tableau146912[[#This Row],[duree_standard]],K59)</f>
        <v>2220</v>
      </c>
      <c r="L60" s="3">
        <f t="shared" ref="L60:L96" si="122">IF(K59&gt;$C$3+$C$4,"",$B$7)</f>
        <v>6</v>
      </c>
      <c r="M60" s="3">
        <f t="shared" ref="M60:M96" si="123">IF(K59&gt;$C$3+$C$4,"",$B$10)</f>
        <v>25</v>
      </c>
    </row>
    <row r="61" spans="2:13" x14ac:dyDescent="0.25">
      <c r="B61" s="15"/>
      <c r="C61" s="3">
        <v>33</v>
      </c>
      <c r="D61" s="3" t="s">
        <v>27</v>
      </c>
      <c r="E61" s="3">
        <f>IF(K60&gt;$C$3+$C$4,"",Tableau146912[[#This Row],[cumul_temps]]/60)</f>
        <v>37</v>
      </c>
      <c r="F61" s="3">
        <f t="shared" ref="F61" si="124">IF(K60&gt;$C$3+$C$4,"",60*$B$13)</f>
        <v>144</v>
      </c>
      <c r="G61" s="3">
        <f t="shared" ref="G61" si="125">IF(K60&gt;$C$3+$C$4,"",G59+1)</f>
        <v>17</v>
      </c>
      <c r="H61" s="13">
        <f t="shared" ref="H61" si="126">IF(K60&gt;$C$3+$C$4,"",(K60-$G$26)/$C$4)</f>
        <v>1</v>
      </c>
      <c r="I61" s="13">
        <f>IF(K60&gt;$C$3+$C$4,"",ROUND(IF(Tableau146912[[#This Row],[Temps_Ref]]&gt;0,($F$13*Tableau146912[[#This Row],[Temps_Ref]]^4+$G$13*Tableau146912[[#This Row],[Temps_Ref]]^3+$H$13*Tableau146912[[#This Row],[Temps_Ref]]^2+$I$13)/$J$13,0),1))</f>
        <v>1</v>
      </c>
      <c r="J61" s="3">
        <f>IF(K60&gt;$C$3+$C$4,"",Tableau146912[[#This Row],[duree_standard]]*Tableau146912[[#This Row],[Correction_DuréeEffortIntense]])</f>
        <v>144</v>
      </c>
      <c r="K61" s="3">
        <f>IF(K60&lt;($B$3+$B$4)*60,K60+Tableau146912[[#This Row],[Durée_Corrigée]],K60)</f>
        <v>2220</v>
      </c>
      <c r="L61" s="3">
        <f t="shared" ref="L61:L96" si="127">IF(K60&gt;$C$3+$C$4,"",$B$8)</f>
        <v>13</v>
      </c>
      <c r="M61" s="3">
        <f t="shared" ref="M61:M96" si="128">IF(K60&gt;$C$3+$C$4,"",$B$11)</f>
        <v>33</v>
      </c>
    </row>
    <row r="62" spans="2:13" x14ac:dyDescent="0.25">
      <c r="B62" s="15"/>
      <c r="C62" s="3">
        <v>34</v>
      </c>
      <c r="D62" s="3" t="s">
        <v>7</v>
      </c>
      <c r="E62" s="3">
        <f>IF(K61&gt;$C$3+$C$4,"",Tableau146912[[#This Row],[cumul_temps]]/60)</f>
        <v>37</v>
      </c>
      <c r="F62" s="3">
        <f t="shared" ref="F62" si="129">IF(K61&gt;$C$3+$C$4,"",60*$B$14)</f>
        <v>108</v>
      </c>
      <c r="H62" s="13"/>
      <c r="I62" s="13"/>
      <c r="J62" s="13"/>
      <c r="K62" s="3">
        <f>IF(K61&lt;($B$3+$B$4)*60,K61+Tableau146912[[#This Row],[duree_standard]],K61)</f>
        <v>2220</v>
      </c>
      <c r="L62" s="3">
        <f t="shared" ref="L62:L96" si="130">IF(K61&gt;$C$3+$C$4,"",$B$7)</f>
        <v>6</v>
      </c>
      <c r="M62" s="3">
        <f t="shared" ref="M62:M96" si="131">IF(K61&gt;$C$3+$C$4,"",$B$10)</f>
        <v>25</v>
      </c>
    </row>
    <row r="63" spans="2:13" x14ac:dyDescent="0.25">
      <c r="B63" s="15"/>
      <c r="C63" s="3">
        <v>35</v>
      </c>
      <c r="D63" s="3" t="s">
        <v>27</v>
      </c>
      <c r="E63" s="3">
        <f>IF(K62&gt;$C$3+$C$4,"",Tableau146912[[#This Row],[cumul_temps]]/60)</f>
        <v>37</v>
      </c>
      <c r="F63" s="3">
        <f t="shared" ref="F63" si="132">IF(K62&gt;$C$3+$C$4,"",60*$B$13)</f>
        <v>144</v>
      </c>
      <c r="G63" s="3">
        <f t="shared" ref="G63" si="133">IF(K62&gt;$C$3+$C$4,"",G61+1)</f>
        <v>18</v>
      </c>
      <c r="H63" s="13">
        <f t="shared" ref="H63" si="134">IF(K62&gt;$C$3+$C$4,"",(K62-$G$26)/$C$4)</f>
        <v>1</v>
      </c>
      <c r="I63" s="13">
        <f>IF(K62&gt;$C$3+$C$4,"",ROUND(IF(Tableau146912[[#This Row],[Temps_Ref]]&gt;0,($F$13*Tableau146912[[#This Row],[Temps_Ref]]^4+$G$13*Tableau146912[[#This Row],[Temps_Ref]]^3+$H$13*Tableau146912[[#This Row],[Temps_Ref]]^2+$I$13)/$J$13,0),1))</f>
        <v>1</v>
      </c>
      <c r="J63" s="3">
        <f>IF(K62&gt;$C$3+$C$4,"",Tableau146912[[#This Row],[duree_standard]]*Tableau146912[[#This Row],[Correction_DuréeEffortIntense]])</f>
        <v>144</v>
      </c>
      <c r="K63" s="3">
        <f>IF(K62&lt;($B$3+$B$4)*60,K62+Tableau146912[[#This Row],[Durée_Corrigée]],K62)</f>
        <v>2220</v>
      </c>
      <c r="L63" s="3">
        <f t="shared" ref="L63:L96" si="135">IF(K62&gt;$C$3+$C$4,"",$B$8)</f>
        <v>13</v>
      </c>
      <c r="M63" s="3">
        <f t="shared" ref="M63:M96" si="136">IF(K62&gt;$C$3+$C$4,"",$B$11)</f>
        <v>33</v>
      </c>
    </row>
    <row r="64" spans="2:13" x14ac:dyDescent="0.25">
      <c r="B64" s="15"/>
      <c r="C64" s="3">
        <v>36</v>
      </c>
      <c r="D64" s="3" t="s">
        <v>7</v>
      </c>
      <c r="E64" s="3">
        <f>IF(K63&gt;$C$3+$C$4,"",Tableau146912[[#This Row],[cumul_temps]]/60)</f>
        <v>37</v>
      </c>
      <c r="F64" s="3">
        <f t="shared" ref="F64" si="137">IF(K63&gt;$C$3+$C$4,"",60*$B$14)</f>
        <v>108</v>
      </c>
      <c r="H64" s="13"/>
      <c r="I64" s="13"/>
      <c r="J64" s="13"/>
      <c r="K64" s="3">
        <f>IF(K63&lt;($B$3+$B$4)*60,K63+Tableau146912[[#This Row],[duree_standard]],K63)</f>
        <v>2220</v>
      </c>
      <c r="L64" s="3">
        <f t="shared" ref="L64:L96" si="138">IF(K63&gt;$C$3+$C$4,"",$B$7)</f>
        <v>6</v>
      </c>
      <c r="M64" s="3">
        <f t="shared" ref="M64:M96" si="139">IF(K63&gt;$C$3+$C$4,"",$B$10)</f>
        <v>25</v>
      </c>
    </row>
    <row r="65" spans="2:13" x14ac:dyDescent="0.25">
      <c r="B65" s="15"/>
      <c r="C65" s="3">
        <v>37</v>
      </c>
      <c r="D65" s="3" t="s">
        <v>27</v>
      </c>
      <c r="E65" s="3">
        <f>IF(K64&gt;$C$3+$C$4,"",Tableau146912[[#This Row],[cumul_temps]]/60)</f>
        <v>37</v>
      </c>
      <c r="F65" s="3">
        <f t="shared" ref="F65" si="140">IF(K64&gt;$C$3+$C$4,"",60*$B$13)</f>
        <v>144</v>
      </c>
      <c r="G65" s="3">
        <f t="shared" ref="G65" si="141">IF(K64&gt;$C$3+$C$4,"",G63+1)</f>
        <v>19</v>
      </c>
      <c r="H65" s="13">
        <f t="shared" ref="H65" si="142">IF(K64&gt;$C$3+$C$4,"",(K64-$G$26)/$C$4)</f>
        <v>1</v>
      </c>
      <c r="I65" s="13">
        <f>IF(K64&gt;$C$3+$C$4,"",ROUND(IF(Tableau146912[[#This Row],[Temps_Ref]]&gt;0,($F$13*Tableau146912[[#This Row],[Temps_Ref]]^4+$G$13*Tableau146912[[#This Row],[Temps_Ref]]^3+$H$13*Tableau146912[[#This Row],[Temps_Ref]]^2+$I$13)/$J$13,0),1))</f>
        <v>1</v>
      </c>
      <c r="J65" s="3">
        <f>IF(K64&gt;$C$3+$C$4,"",Tableau146912[[#This Row],[duree_standard]]*Tableau146912[[#This Row],[Correction_DuréeEffortIntense]])</f>
        <v>144</v>
      </c>
      <c r="K65" s="3">
        <f>IF(K64&lt;($B$3+$B$4)*60,K64+Tableau146912[[#This Row],[Durée_Corrigée]],K64)</f>
        <v>2220</v>
      </c>
      <c r="L65" s="3">
        <f t="shared" ref="L65:L96" si="143">IF(K64&gt;$C$3+$C$4,"",$B$8)</f>
        <v>13</v>
      </c>
      <c r="M65" s="3">
        <f t="shared" ref="M65:M96" si="144">IF(K64&gt;$C$3+$C$4,"",$B$11)</f>
        <v>33</v>
      </c>
    </row>
    <row r="66" spans="2:13" x14ac:dyDescent="0.25">
      <c r="B66" s="15"/>
      <c r="C66" s="3">
        <v>38</v>
      </c>
      <c r="D66" s="3" t="s">
        <v>7</v>
      </c>
      <c r="E66" s="3">
        <f>IF(K65&gt;$C$3+$C$4,"",Tableau146912[[#This Row],[cumul_temps]]/60)</f>
        <v>37</v>
      </c>
      <c r="F66" s="3">
        <f t="shared" ref="F66" si="145">IF(K65&gt;$C$3+$C$4,"",60*$B$14)</f>
        <v>108</v>
      </c>
      <c r="H66" s="13"/>
      <c r="I66" s="13"/>
      <c r="J66" s="13"/>
      <c r="K66" s="3">
        <f>IF(K65&lt;($B$3+$B$4)*60,K65+Tableau146912[[#This Row],[duree_standard]],K65)</f>
        <v>2220</v>
      </c>
      <c r="L66" s="3">
        <f t="shared" ref="L66:L96" si="146">IF(K65&gt;$C$3+$C$4,"",$B$7)</f>
        <v>6</v>
      </c>
      <c r="M66" s="3">
        <f t="shared" ref="M66:M96" si="147">IF(K65&gt;$C$3+$C$4,"",$B$10)</f>
        <v>25</v>
      </c>
    </row>
    <row r="67" spans="2:13" x14ac:dyDescent="0.25">
      <c r="B67" s="15"/>
      <c r="C67" s="3">
        <v>39</v>
      </c>
      <c r="D67" s="3" t="s">
        <v>27</v>
      </c>
      <c r="E67" s="3">
        <f>IF(K66&gt;$C$3+$C$4,"",Tableau146912[[#This Row],[cumul_temps]]/60)</f>
        <v>37</v>
      </c>
      <c r="F67" s="3">
        <f t="shared" ref="F67" si="148">IF(K66&gt;$C$3+$C$4,"",60*$B$13)</f>
        <v>144</v>
      </c>
      <c r="G67" s="3">
        <f t="shared" ref="G67" si="149">IF(K66&gt;$C$3+$C$4,"",G65+1)</f>
        <v>20</v>
      </c>
      <c r="H67" s="13">
        <f t="shared" ref="H67" si="150">IF(K66&gt;$C$3+$C$4,"",(K66-$G$26)/$C$4)</f>
        <v>1</v>
      </c>
      <c r="I67" s="13">
        <f>IF(K66&gt;$C$3+$C$4,"",ROUND(IF(Tableau146912[[#This Row],[Temps_Ref]]&gt;0,($F$13*Tableau146912[[#This Row],[Temps_Ref]]^4+$G$13*Tableau146912[[#This Row],[Temps_Ref]]^3+$H$13*Tableau146912[[#This Row],[Temps_Ref]]^2+$I$13)/$J$13,0),1))</f>
        <v>1</v>
      </c>
      <c r="J67" s="3">
        <f>IF(K66&gt;$C$3+$C$4,"",Tableau146912[[#This Row],[duree_standard]]*Tableau146912[[#This Row],[Correction_DuréeEffortIntense]])</f>
        <v>144</v>
      </c>
      <c r="K67" s="3">
        <f>IF(K66&lt;($B$3+$B$4)*60,K66+Tableau146912[[#This Row],[Durée_Corrigée]],K66)</f>
        <v>2220</v>
      </c>
      <c r="L67" s="3">
        <f t="shared" ref="L67:L96" si="151">IF(K66&gt;$C$3+$C$4,"",$B$8)</f>
        <v>13</v>
      </c>
      <c r="M67" s="3">
        <f t="shared" ref="M67:M96" si="152">IF(K66&gt;$C$3+$C$4,"",$B$11)</f>
        <v>33</v>
      </c>
    </row>
    <row r="68" spans="2:13" x14ac:dyDescent="0.25">
      <c r="B68" s="15"/>
      <c r="C68" s="3">
        <v>40</v>
      </c>
      <c r="D68" s="3" t="s">
        <v>7</v>
      </c>
      <c r="E68" s="3">
        <f>IF(K67&gt;$C$3+$C$4,"",Tableau146912[[#This Row],[cumul_temps]]/60)</f>
        <v>37</v>
      </c>
      <c r="F68" s="3">
        <f t="shared" ref="F68" si="153">IF(K67&gt;$C$3+$C$4,"",60*$B$14)</f>
        <v>108</v>
      </c>
      <c r="H68" s="13"/>
      <c r="I68" s="13"/>
      <c r="J68" s="13"/>
      <c r="K68" s="3">
        <f>IF(K67&lt;($B$3+$B$4)*60,K67+Tableau146912[[#This Row],[duree_standard]],K67)</f>
        <v>2220</v>
      </c>
      <c r="L68" s="3">
        <f t="shared" ref="L68:L96" si="154">IF(K67&gt;$C$3+$C$4,"",$B$7)</f>
        <v>6</v>
      </c>
      <c r="M68" s="3">
        <f t="shared" ref="M68:M96" si="155">IF(K67&gt;$C$3+$C$4,"",$B$10)</f>
        <v>25</v>
      </c>
    </row>
    <row r="69" spans="2:13" x14ac:dyDescent="0.25">
      <c r="B69" s="15"/>
      <c r="C69" s="3">
        <v>41</v>
      </c>
      <c r="D69" s="3" t="s">
        <v>27</v>
      </c>
      <c r="E69" s="3">
        <f>IF(K68&gt;$C$3+$C$4,"",Tableau146912[[#This Row],[cumul_temps]]/60)</f>
        <v>37</v>
      </c>
      <c r="F69" s="3">
        <f t="shared" ref="F69" si="156">IF(K68&gt;$C$3+$C$4,"",60*$B$13)</f>
        <v>144</v>
      </c>
      <c r="G69" s="3">
        <f t="shared" ref="G69" si="157">IF(K68&gt;$C$3+$C$4,"",G67+1)</f>
        <v>21</v>
      </c>
      <c r="H69" s="13">
        <f t="shared" ref="H69" si="158">IF(K68&gt;$C$3+$C$4,"",(K68-$G$26)/$C$4)</f>
        <v>1</v>
      </c>
      <c r="I69" s="13">
        <f>IF(K68&gt;$C$3+$C$4,"",ROUND(IF(Tableau146912[[#This Row],[Temps_Ref]]&gt;0,($F$13*Tableau146912[[#This Row],[Temps_Ref]]^4+$G$13*Tableau146912[[#This Row],[Temps_Ref]]^3+$H$13*Tableau146912[[#This Row],[Temps_Ref]]^2+$I$13)/$J$13,0),1))</f>
        <v>1</v>
      </c>
      <c r="J69" s="3">
        <f>IF(K68&gt;$C$3+$C$4,"",Tableau146912[[#This Row],[duree_standard]]*Tableau146912[[#This Row],[Correction_DuréeEffortIntense]])</f>
        <v>144</v>
      </c>
      <c r="K69" s="3">
        <f>IF(K68&lt;($B$3+$B$4)*60,K68+Tableau146912[[#This Row],[Durée_Corrigée]],K68)</f>
        <v>2220</v>
      </c>
      <c r="L69" s="3">
        <f t="shared" ref="L69:L96" si="159">IF(K68&gt;$C$3+$C$4,"",$B$8)</f>
        <v>13</v>
      </c>
      <c r="M69" s="3">
        <f t="shared" ref="M69:M96" si="160">IF(K68&gt;$C$3+$C$4,"",$B$11)</f>
        <v>33</v>
      </c>
    </row>
    <row r="70" spans="2:13" x14ac:dyDescent="0.25">
      <c r="B70" s="15"/>
      <c r="C70" s="3">
        <v>42</v>
      </c>
      <c r="D70" s="3" t="s">
        <v>7</v>
      </c>
      <c r="E70" s="3">
        <f>IF(K69&gt;$C$3+$C$4,"",Tableau146912[[#This Row],[cumul_temps]]/60)</f>
        <v>37</v>
      </c>
      <c r="F70" s="3">
        <f t="shared" ref="F70" si="161">IF(K69&gt;$C$3+$C$4,"",60*$B$14)</f>
        <v>108</v>
      </c>
      <c r="H70" s="13"/>
      <c r="I70" s="13"/>
      <c r="J70" s="13"/>
      <c r="K70" s="3">
        <f>IF(K69&lt;($B$3+$B$4)*60,K69+Tableau146912[[#This Row],[duree_standard]],K69)</f>
        <v>2220</v>
      </c>
      <c r="L70" s="3">
        <f t="shared" ref="L70:L96" si="162">IF(K69&gt;$C$3+$C$4,"",$B$7)</f>
        <v>6</v>
      </c>
      <c r="M70" s="3">
        <f t="shared" ref="M70:M96" si="163">IF(K69&gt;$C$3+$C$4,"",$B$10)</f>
        <v>25</v>
      </c>
    </row>
    <row r="71" spans="2:13" x14ac:dyDescent="0.25">
      <c r="B71" s="15"/>
      <c r="C71" s="3">
        <v>43</v>
      </c>
      <c r="D71" s="3" t="s">
        <v>27</v>
      </c>
      <c r="E71" s="3">
        <f>IF(K70&gt;$C$3+$C$4,"",Tableau146912[[#This Row],[cumul_temps]]/60)</f>
        <v>37</v>
      </c>
      <c r="F71" s="3">
        <f t="shared" ref="F71" si="164">IF(K70&gt;$C$3+$C$4,"",60*$B$13)</f>
        <v>144</v>
      </c>
      <c r="G71" s="3">
        <f t="shared" ref="G71" si="165">IF(K70&gt;$C$3+$C$4,"",G69+1)</f>
        <v>22</v>
      </c>
      <c r="H71" s="13">
        <f t="shared" ref="H71" si="166">IF(K70&gt;$C$3+$C$4,"",(K70-$G$26)/$C$4)</f>
        <v>1</v>
      </c>
      <c r="I71" s="13">
        <f>IF(K70&gt;$C$3+$C$4,"",ROUND(IF(Tableau146912[[#This Row],[Temps_Ref]]&gt;0,($F$13*Tableau146912[[#This Row],[Temps_Ref]]^4+$G$13*Tableau146912[[#This Row],[Temps_Ref]]^3+$H$13*Tableau146912[[#This Row],[Temps_Ref]]^2+$I$13)/$J$13,0),1))</f>
        <v>1</v>
      </c>
      <c r="J71" s="3">
        <f>IF(K70&gt;$C$3+$C$4,"",Tableau146912[[#This Row],[duree_standard]]*Tableau146912[[#This Row],[Correction_DuréeEffortIntense]])</f>
        <v>144</v>
      </c>
      <c r="K71" s="3">
        <f>IF(K70&lt;($B$3+$B$4)*60,K70+Tableau146912[[#This Row],[Durée_Corrigée]],K70)</f>
        <v>2220</v>
      </c>
      <c r="L71" s="3">
        <f t="shared" ref="L71:L96" si="167">IF(K70&gt;$C$3+$C$4,"",$B$8)</f>
        <v>13</v>
      </c>
      <c r="M71" s="3">
        <f t="shared" ref="M71:M96" si="168">IF(K70&gt;$C$3+$C$4,"",$B$11)</f>
        <v>33</v>
      </c>
    </row>
    <row r="72" spans="2:13" x14ac:dyDescent="0.25">
      <c r="B72" s="15"/>
      <c r="C72" s="3">
        <v>44</v>
      </c>
      <c r="D72" s="3" t="s">
        <v>7</v>
      </c>
      <c r="E72" s="3">
        <f>IF(K71&gt;$C$3+$C$4,"",Tableau146912[[#This Row],[cumul_temps]]/60)</f>
        <v>37</v>
      </c>
      <c r="F72" s="3">
        <f t="shared" ref="F72" si="169">IF(K71&gt;$C$3+$C$4,"",60*$B$14)</f>
        <v>108</v>
      </c>
      <c r="H72" s="13"/>
      <c r="I72" s="13"/>
      <c r="J72" s="13"/>
      <c r="K72" s="3">
        <f>IF(K71&lt;($B$3+$B$4)*60,K71+Tableau146912[[#This Row],[duree_standard]],K71)</f>
        <v>2220</v>
      </c>
      <c r="L72" s="3">
        <f t="shared" ref="L72:L96" si="170">IF(K71&gt;$C$3+$C$4,"",$B$7)</f>
        <v>6</v>
      </c>
      <c r="M72" s="3">
        <f t="shared" ref="M72:M96" si="171">IF(K71&gt;$C$3+$C$4,"",$B$10)</f>
        <v>25</v>
      </c>
    </row>
    <row r="73" spans="2:13" x14ac:dyDescent="0.25">
      <c r="B73" s="15"/>
      <c r="C73" s="3">
        <v>45</v>
      </c>
      <c r="D73" s="3" t="s">
        <v>27</v>
      </c>
      <c r="E73" s="3">
        <f>IF(K72&gt;$C$3+$C$4,"",Tableau146912[[#This Row],[cumul_temps]]/60)</f>
        <v>37</v>
      </c>
      <c r="F73" s="3">
        <f t="shared" ref="F73" si="172">IF(K72&gt;$C$3+$C$4,"",60*$B$13)</f>
        <v>144</v>
      </c>
      <c r="G73" s="3">
        <f t="shared" ref="G73" si="173">IF(K72&gt;$C$3+$C$4,"",G71+1)</f>
        <v>23</v>
      </c>
      <c r="H73" s="13">
        <f t="shared" ref="H73" si="174">IF(K72&gt;$C$3+$C$4,"",(K72-$G$26)/$C$4)</f>
        <v>1</v>
      </c>
      <c r="I73" s="13">
        <f>IF(K72&gt;$C$3+$C$4,"",ROUND(IF(Tableau146912[[#This Row],[Temps_Ref]]&gt;0,($F$13*Tableau146912[[#This Row],[Temps_Ref]]^4+$G$13*Tableau146912[[#This Row],[Temps_Ref]]^3+$H$13*Tableau146912[[#This Row],[Temps_Ref]]^2+$I$13)/$J$13,0),1))</f>
        <v>1</v>
      </c>
      <c r="J73" s="3">
        <f>IF(K72&gt;$C$3+$C$4,"",Tableau146912[[#This Row],[duree_standard]]*Tableau146912[[#This Row],[Correction_DuréeEffortIntense]])</f>
        <v>144</v>
      </c>
      <c r="K73" s="3">
        <f>IF(K72&lt;($B$3+$B$4)*60,K72+Tableau146912[[#This Row],[Durée_Corrigée]],K72)</f>
        <v>2220</v>
      </c>
      <c r="L73" s="3">
        <f t="shared" ref="L73:L96" si="175">IF(K72&gt;$C$3+$C$4,"",$B$8)</f>
        <v>13</v>
      </c>
      <c r="M73" s="3">
        <f t="shared" ref="M73:M96" si="176">IF(K72&gt;$C$3+$C$4,"",$B$11)</f>
        <v>33</v>
      </c>
    </row>
    <row r="74" spans="2:13" x14ac:dyDescent="0.25">
      <c r="B74" s="15"/>
      <c r="C74" s="3">
        <v>46</v>
      </c>
      <c r="D74" s="3" t="s">
        <v>7</v>
      </c>
      <c r="E74" s="3">
        <f>IF(K73&gt;$C$3+$C$4,"",Tableau146912[[#This Row],[cumul_temps]]/60)</f>
        <v>37</v>
      </c>
      <c r="F74" s="3">
        <f t="shared" ref="F74:F96" si="177">IF(K73&gt;$C$3+$C$4,"",60*$B$14)</f>
        <v>108</v>
      </c>
      <c r="H74" s="13"/>
      <c r="I74" s="13"/>
      <c r="J74" s="13"/>
      <c r="K74" s="3">
        <f>IF(K73&lt;($B$3+$B$4)*60,K73+Tableau146912[[#This Row],[duree_standard]],K73)</f>
        <v>2220</v>
      </c>
      <c r="L74" s="3">
        <f t="shared" ref="L74:L96" si="178">IF(K73&gt;$C$3+$C$4,"",$B$7)</f>
        <v>6</v>
      </c>
      <c r="M74" s="3">
        <f t="shared" ref="M74:M96" si="179">IF(K73&gt;$C$3+$C$4,"",$B$10)</f>
        <v>25</v>
      </c>
    </row>
    <row r="75" spans="2:13" x14ac:dyDescent="0.25">
      <c r="B75" s="15"/>
      <c r="C75" s="3">
        <v>47</v>
      </c>
      <c r="D75" s="3" t="s">
        <v>27</v>
      </c>
      <c r="E75" s="3">
        <f>IF(K74&gt;$C$3+$C$4,"",Tableau146912[[#This Row],[cumul_temps]]/60)</f>
        <v>37</v>
      </c>
      <c r="F75" s="3">
        <f t="shared" ref="F75:F96" si="180">IF(K74&gt;$C$3+$C$4,"",60*$B$13)</f>
        <v>144</v>
      </c>
      <c r="G75" s="3">
        <f t="shared" ref="G75" si="181">IF(K74&gt;$C$3+$C$4,"",G73+1)</f>
        <v>24</v>
      </c>
      <c r="H75" s="13">
        <f t="shared" ref="H75:H96" si="182">IF(K74&gt;$C$3+$C$4,"",(K74-$G$26)/$C$4)</f>
        <v>1</v>
      </c>
      <c r="I75" s="13">
        <f>IF(K74&gt;$C$3+$C$4,"",ROUND(IF(Tableau146912[[#This Row],[Temps_Ref]]&gt;0,($F$13*Tableau146912[[#This Row],[Temps_Ref]]^4+$G$13*Tableau146912[[#This Row],[Temps_Ref]]^3+$H$13*Tableau146912[[#This Row],[Temps_Ref]]^2+$I$13)/$J$13,0),1))</f>
        <v>1</v>
      </c>
      <c r="J75" s="3">
        <f>IF(K74&gt;$C$3+$C$4,"",Tableau146912[[#This Row],[duree_standard]]*Tableau146912[[#This Row],[Correction_DuréeEffortIntense]])</f>
        <v>144</v>
      </c>
      <c r="K75" s="3">
        <f>IF(K74&lt;($B$3+$B$4)*60,K74+Tableau146912[[#This Row],[Durée_Corrigée]],K74)</f>
        <v>2220</v>
      </c>
      <c r="L75" s="3">
        <f t="shared" ref="L75:L96" si="183">IF(K74&gt;$C$3+$C$4,"",$B$8)</f>
        <v>13</v>
      </c>
      <c r="M75" s="3">
        <f t="shared" ref="M75:M96" si="184">IF(K74&gt;$C$3+$C$4,"",$B$11)</f>
        <v>33</v>
      </c>
    </row>
    <row r="76" spans="2:13" x14ac:dyDescent="0.25">
      <c r="B76" s="15"/>
      <c r="C76" s="3">
        <v>48</v>
      </c>
      <c r="D76" s="3" t="s">
        <v>7</v>
      </c>
      <c r="E76" s="3">
        <f>IF(K75&gt;$C$3+$C$4,"",Tableau146912[[#This Row],[cumul_temps]]/60)</f>
        <v>37</v>
      </c>
      <c r="F76" s="3">
        <f t="shared" ref="F76:F96" si="185">IF(K75&gt;$C$3+$C$4,"",60*$B$14)</f>
        <v>108</v>
      </c>
      <c r="H76" s="13"/>
      <c r="I76" s="13"/>
      <c r="J76" s="13"/>
      <c r="K76" s="3">
        <f>IF(K75&lt;($B$3+$B$4)*60,K75+Tableau146912[[#This Row],[duree_standard]],K75)</f>
        <v>2220</v>
      </c>
      <c r="L76" s="3">
        <f t="shared" ref="L76:L96" si="186">IF(K75&gt;$C$3+$C$4,"",$B$7)</f>
        <v>6</v>
      </c>
      <c r="M76" s="3">
        <f t="shared" ref="M76:M96" si="187">IF(K75&gt;$C$3+$C$4,"",$B$10)</f>
        <v>25</v>
      </c>
    </row>
    <row r="77" spans="2:13" x14ac:dyDescent="0.25">
      <c r="B77" s="15"/>
      <c r="C77" s="3">
        <v>49</v>
      </c>
      <c r="D77" s="3" t="s">
        <v>27</v>
      </c>
      <c r="E77" s="3">
        <f>IF(K76&gt;$C$3+$C$4,"",Tableau146912[[#This Row],[cumul_temps]]/60)</f>
        <v>37</v>
      </c>
      <c r="F77" s="3">
        <f t="shared" ref="F77:F96" si="188">IF(K76&gt;$C$3+$C$4,"",60*$B$13)</f>
        <v>144</v>
      </c>
      <c r="G77" s="3">
        <f t="shared" ref="G77" si="189">IF(K76&gt;$C$3+$C$4,"",G75+1)</f>
        <v>25</v>
      </c>
      <c r="H77" s="13">
        <f t="shared" ref="H77:H96" si="190">IF(K76&gt;$C$3+$C$4,"",(K76-$G$26)/$C$4)</f>
        <v>1</v>
      </c>
      <c r="I77" s="13">
        <f>IF(K76&gt;$C$3+$C$4,"",ROUND(IF(Tableau146912[[#This Row],[Temps_Ref]]&gt;0,($F$13*Tableau146912[[#This Row],[Temps_Ref]]^4+$G$13*Tableau146912[[#This Row],[Temps_Ref]]^3+$H$13*Tableau146912[[#This Row],[Temps_Ref]]^2+$I$13)/$J$13,0),1))</f>
        <v>1</v>
      </c>
      <c r="J77" s="3">
        <f>IF(K76&gt;$C$3+$C$4,"",Tableau146912[[#This Row],[duree_standard]]*Tableau146912[[#This Row],[Correction_DuréeEffortIntense]])</f>
        <v>144</v>
      </c>
      <c r="K77" s="3">
        <f>IF(K76&lt;($B$3+$B$4)*60,K76+Tableau146912[[#This Row],[Durée_Corrigée]],K76)</f>
        <v>2220</v>
      </c>
      <c r="L77" s="3">
        <f t="shared" ref="L77:L96" si="191">IF(K76&gt;$C$3+$C$4,"",$B$8)</f>
        <v>13</v>
      </c>
      <c r="M77" s="3">
        <f t="shared" ref="M77:M96" si="192">IF(K76&gt;$C$3+$C$4,"",$B$11)</f>
        <v>33</v>
      </c>
    </row>
    <row r="78" spans="2:13" x14ac:dyDescent="0.25">
      <c r="B78" s="15"/>
      <c r="C78" s="3">
        <v>50</v>
      </c>
      <c r="D78" s="3" t="s">
        <v>7</v>
      </c>
      <c r="E78" s="3">
        <f>IF(K77&gt;$C$3+$C$4,"",Tableau146912[[#This Row],[cumul_temps]]/60)</f>
        <v>37</v>
      </c>
      <c r="F78" s="3">
        <f t="shared" ref="F78:F96" si="193">IF(K77&gt;$C$3+$C$4,"",60*$B$14)</f>
        <v>108</v>
      </c>
      <c r="H78" s="13"/>
      <c r="I78" s="13"/>
      <c r="J78" s="13"/>
      <c r="K78" s="3">
        <f>IF(K77&lt;($B$3+$B$4)*60,K77+Tableau146912[[#This Row],[duree_standard]],K77)</f>
        <v>2220</v>
      </c>
      <c r="L78" s="3">
        <f t="shared" ref="L78:L96" si="194">IF(K77&gt;$C$3+$C$4,"",$B$7)</f>
        <v>6</v>
      </c>
      <c r="M78" s="3">
        <f t="shared" ref="M78:M96" si="195">IF(K77&gt;$C$3+$C$4,"",$B$10)</f>
        <v>25</v>
      </c>
    </row>
    <row r="79" spans="2:13" x14ac:dyDescent="0.25">
      <c r="B79" s="15"/>
      <c r="C79" s="3">
        <v>51</v>
      </c>
      <c r="D79" s="3" t="s">
        <v>27</v>
      </c>
      <c r="E79" s="3">
        <f>IF(K78&gt;$C$3+$C$4,"",Tableau146912[[#This Row],[cumul_temps]]/60)</f>
        <v>37</v>
      </c>
      <c r="F79" s="3">
        <f t="shared" ref="F79:F96" si="196">IF(K78&gt;$C$3+$C$4,"",60*$B$13)</f>
        <v>144</v>
      </c>
      <c r="G79" s="3">
        <f t="shared" ref="G79" si="197">IF(K78&gt;$C$3+$C$4,"",G77+1)</f>
        <v>26</v>
      </c>
      <c r="H79" s="13">
        <f t="shared" ref="H79:H96" si="198">IF(K78&gt;$C$3+$C$4,"",(K78-$G$26)/$C$4)</f>
        <v>1</v>
      </c>
      <c r="I79" s="13">
        <f>IF(K78&gt;$C$3+$C$4,"",ROUND(IF(Tableau146912[[#This Row],[Temps_Ref]]&gt;0,($F$13*Tableau146912[[#This Row],[Temps_Ref]]^4+$G$13*Tableau146912[[#This Row],[Temps_Ref]]^3+$H$13*Tableau146912[[#This Row],[Temps_Ref]]^2+$I$13)/$J$13,0),1))</f>
        <v>1</v>
      </c>
      <c r="J79" s="3">
        <f>IF(K78&gt;$C$3+$C$4,"",Tableau146912[[#This Row],[duree_standard]]*Tableau146912[[#This Row],[Correction_DuréeEffortIntense]])</f>
        <v>144</v>
      </c>
      <c r="K79" s="3">
        <f>IF(K78&lt;($B$3+$B$4)*60,K78+Tableau146912[[#This Row],[Durée_Corrigée]],K78)</f>
        <v>2220</v>
      </c>
      <c r="L79" s="3">
        <f t="shared" ref="L79:L96" si="199">IF(K78&gt;$C$3+$C$4,"",$B$8)</f>
        <v>13</v>
      </c>
      <c r="M79" s="3">
        <f t="shared" ref="M79:M96" si="200">IF(K78&gt;$C$3+$C$4,"",$B$11)</f>
        <v>33</v>
      </c>
    </row>
    <row r="80" spans="2:13" x14ac:dyDescent="0.25">
      <c r="B80" s="15"/>
      <c r="C80" s="3">
        <v>52</v>
      </c>
      <c r="D80" s="3" t="s">
        <v>7</v>
      </c>
      <c r="E80" s="3">
        <f>IF(K79&gt;$C$3+$C$4,"",Tableau146912[[#This Row],[cumul_temps]]/60)</f>
        <v>37</v>
      </c>
      <c r="F80" s="3">
        <f t="shared" ref="F80:F96" si="201">IF(K79&gt;$C$3+$C$4,"",60*$B$14)</f>
        <v>108</v>
      </c>
      <c r="H80" s="13"/>
      <c r="I80" s="13"/>
      <c r="J80" s="13"/>
      <c r="K80" s="3">
        <f>IF(K79&lt;($B$3+$B$4)*60,K79+Tableau146912[[#This Row],[duree_standard]],K79)</f>
        <v>2220</v>
      </c>
      <c r="L80" s="3">
        <f t="shared" ref="L80:L96" si="202">IF(K79&gt;$C$3+$C$4,"",$B$7)</f>
        <v>6</v>
      </c>
      <c r="M80" s="3">
        <f t="shared" ref="M80:M96" si="203">IF(K79&gt;$C$3+$C$4,"",$B$10)</f>
        <v>25</v>
      </c>
    </row>
    <row r="81" spans="2:13" x14ac:dyDescent="0.25">
      <c r="B81" s="15"/>
      <c r="C81" s="3">
        <v>53</v>
      </c>
      <c r="D81" s="3" t="s">
        <v>27</v>
      </c>
      <c r="E81" s="3">
        <f>IF(K80&gt;$C$3+$C$4,"",Tableau146912[[#This Row],[cumul_temps]]/60)</f>
        <v>37</v>
      </c>
      <c r="F81" s="3">
        <f t="shared" ref="F81:F96" si="204">IF(K80&gt;$C$3+$C$4,"",60*$B$13)</f>
        <v>144</v>
      </c>
      <c r="G81" s="3">
        <f t="shared" ref="G81" si="205">IF(K80&gt;$C$3+$C$4,"",G79+1)</f>
        <v>27</v>
      </c>
      <c r="H81" s="13">
        <f t="shared" ref="H81:H96" si="206">IF(K80&gt;$C$3+$C$4,"",(K80-$G$26)/$C$4)</f>
        <v>1</v>
      </c>
      <c r="I81" s="13">
        <f>IF(K80&gt;$C$3+$C$4,"",ROUND(IF(Tableau146912[[#This Row],[Temps_Ref]]&gt;0,($F$13*Tableau146912[[#This Row],[Temps_Ref]]^4+$G$13*Tableau146912[[#This Row],[Temps_Ref]]^3+$H$13*Tableau146912[[#This Row],[Temps_Ref]]^2+$I$13)/$J$13,0),1))</f>
        <v>1</v>
      </c>
      <c r="J81" s="3">
        <f>IF(K80&gt;$C$3+$C$4,"",Tableau146912[[#This Row],[duree_standard]]*Tableau146912[[#This Row],[Correction_DuréeEffortIntense]])</f>
        <v>144</v>
      </c>
      <c r="K81" s="3">
        <f>IF(K80&lt;($B$3+$B$4)*60,K80+Tableau146912[[#This Row],[Durée_Corrigée]],K80)</f>
        <v>2220</v>
      </c>
      <c r="L81" s="3">
        <f t="shared" ref="L81:L96" si="207">IF(K80&gt;$C$3+$C$4,"",$B$8)</f>
        <v>13</v>
      </c>
      <c r="M81" s="3">
        <f t="shared" ref="M81:M96" si="208">IF(K80&gt;$C$3+$C$4,"",$B$11)</f>
        <v>33</v>
      </c>
    </row>
    <row r="82" spans="2:13" x14ac:dyDescent="0.25">
      <c r="B82" s="15"/>
      <c r="C82" s="3">
        <v>54</v>
      </c>
      <c r="D82" s="3" t="s">
        <v>7</v>
      </c>
      <c r="E82" s="3">
        <f>IF(K81&gt;$C$3+$C$4,"",Tableau146912[[#This Row],[cumul_temps]]/60)</f>
        <v>37</v>
      </c>
      <c r="F82" s="3">
        <f t="shared" ref="F82:F96" si="209">IF(K81&gt;$C$3+$C$4,"",60*$B$14)</f>
        <v>108</v>
      </c>
      <c r="H82" s="13"/>
      <c r="I82" s="13"/>
      <c r="J82" s="13"/>
      <c r="K82" s="3">
        <f>IF(K81&lt;($B$3+$B$4)*60,K81+Tableau146912[[#This Row],[duree_standard]],K81)</f>
        <v>2220</v>
      </c>
      <c r="L82" s="3">
        <f t="shared" ref="L82:L96" si="210">IF(K81&gt;$C$3+$C$4,"",$B$7)</f>
        <v>6</v>
      </c>
      <c r="M82" s="3">
        <f t="shared" ref="M82:M96" si="211">IF(K81&gt;$C$3+$C$4,"",$B$10)</f>
        <v>25</v>
      </c>
    </row>
    <row r="83" spans="2:13" x14ac:dyDescent="0.25">
      <c r="B83" s="15"/>
      <c r="C83" s="3">
        <v>55</v>
      </c>
      <c r="D83" s="3" t="s">
        <v>27</v>
      </c>
      <c r="E83" s="3">
        <f>IF(K82&gt;$C$3+$C$4,"",Tableau146912[[#This Row],[cumul_temps]]/60)</f>
        <v>37</v>
      </c>
      <c r="F83" s="3">
        <f t="shared" ref="F83:F96" si="212">IF(K82&gt;$C$3+$C$4,"",60*$B$13)</f>
        <v>144</v>
      </c>
      <c r="G83" s="3">
        <f t="shared" ref="G83" si="213">IF(K82&gt;$C$3+$C$4,"",G81+1)</f>
        <v>28</v>
      </c>
      <c r="H83" s="13">
        <f t="shared" ref="H83:H96" si="214">IF(K82&gt;$C$3+$C$4,"",(K82-$G$26)/$C$4)</f>
        <v>1</v>
      </c>
      <c r="I83" s="13">
        <f>IF(K82&gt;$C$3+$C$4,"",ROUND(IF(Tableau146912[[#This Row],[Temps_Ref]]&gt;0,($F$13*Tableau146912[[#This Row],[Temps_Ref]]^4+$G$13*Tableau146912[[#This Row],[Temps_Ref]]^3+$H$13*Tableau146912[[#This Row],[Temps_Ref]]^2+$I$13)/$J$13,0),1))</f>
        <v>1</v>
      </c>
      <c r="J83" s="3">
        <f>IF(K82&gt;$C$3+$C$4,"",Tableau146912[[#This Row],[duree_standard]]*Tableau146912[[#This Row],[Correction_DuréeEffortIntense]])</f>
        <v>144</v>
      </c>
      <c r="K83" s="3">
        <f>IF(K82&lt;($B$3+$B$4)*60,K82+Tableau146912[[#This Row],[Durée_Corrigée]],K82)</f>
        <v>2220</v>
      </c>
      <c r="L83" s="3">
        <f t="shared" ref="L83:L96" si="215">IF(K82&gt;$C$3+$C$4,"",$B$8)</f>
        <v>13</v>
      </c>
      <c r="M83" s="3">
        <f t="shared" ref="M83:M96" si="216">IF(K82&gt;$C$3+$C$4,"",$B$11)</f>
        <v>33</v>
      </c>
    </row>
    <row r="84" spans="2:13" x14ac:dyDescent="0.25">
      <c r="B84" s="15"/>
      <c r="C84" s="3">
        <v>56</v>
      </c>
      <c r="D84" s="3" t="s">
        <v>7</v>
      </c>
      <c r="E84" s="3">
        <f>IF(K83&gt;$C$3+$C$4,"",Tableau146912[[#This Row],[cumul_temps]]/60)</f>
        <v>37</v>
      </c>
      <c r="F84" s="3">
        <f t="shared" ref="F84:F96" si="217">IF(K83&gt;$C$3+$C$4,"",60*$B$14)</f>
        <v>108</v>
      </c>
      <c r="H84" s="13"/>
      <c r="I84" s="13"/>
      <c r="J84" s="13"/>
      <c r="K84" s="3">
        <f>IF(K83&lt;($B$3+$B$4)*60,K83+Tableau146912[[#This Row],[duree_standard]],K83)</f>
        <v>2220</v>
      </c>
      <c r="L84" s="3">
        <f t="shared" ref="L84:L96" si="218">IF(K83&gt;$C$3+$C$4,"",$B$7)</f>
        <v>6</v>
      </c>
      <c r="M84" s="3">
        <f t="shared" ref="M84:M96" si="219">IF(K83&gt;$C$3+$C$4,"",$B$10)</f>
        <v>25</v>
      </c>
    </row>
    <row r="85" spans="2:13" x14ac:dyDescent="0.25">
      <c r="B85" s="15"/>
      <c r="C85" s="3">
        <v>57</v>
      </c>
      <c r="D85" s="3" t="s">
        <v>27</v>
      </c>
      <c r="E85" s="3">
        <f>IF(K84&gt;$C$3+$C$4,"",Tableau146912[[#This Row],[cumul_temps]]/60)</f>
        <v>37</v>
      </c>
      <c r="F85" s="3">
        <f t="shared" ref="F85:F96" si="220">IF(K84&gt;$C$3+$C$4,"",60*$B$13)</f>
        <v>144</v>
      </c>
      <c r="G85" s="3">
        <f t="shared" ref="G85" si="221">IF(K84&gt;$C$3+$C$4,"",G83+1)</f>
        <v>29</v>
      </c>
      <c r="H85" s="13">
        <f t="shared" ref="H85:H96" si="222">IF(K84&gt;$C$3+$C$4,"",(K84-$G$26)/$C$4)</f>
        <v>1</v>
      </c>
      <c r="I85" s="13">
        <f>IF(K84&gt;$C$3+$C$4,"",ROUND(IF(Tableau146912[[#This Row],[Temps_Ref]]&gt;0,($F$13*Tableau146912[[#This Row],[Temps_Ref]]^4+$G$13*Tableau146912[[#This Row],[Temps_Ref]]^3+$H$13*Tableau146912[[#This Row],[Temps_Ref]]^2+$I$13)/$J$13,0),1))</f>
        <v>1</v>
      </c>
      <c r="J85" s="3">
        <f>IF(K84&gt;$C$3+$C$4,"",Tableau146912[[#This Row],[duree_standard]]*Tableau146912[[#This Row],[Correction_DuréeEffortIntense]])</f>
        <v>144</v>
      </c>
      <c r="K85" s="3">
        <f>IF(K84&lt;($B$3+$B$4)*60,K84+Tableau146912[[#This Row],[Durée_Corrigée]],K84)</f>
        <v>2220</v>
      </c>
      <c r="L85" s="3">
        <f t="shared" ref="L85:L96" si="223">IF(K84&gt;$C$3+$C$4,"",$B$8)</f>
        <v>13</v>
      </c>
      <c r="M85" s="3">
        <f t="shared" ref="M85:M96" si="224">IF(K84&gt;$C$3+$C$4,"",$B$11)</f>
        <v>33</v>
      </c>
    </row>
    <row r="86" spans="2:13" x14ac:dyDescent="0.25">
      <c r="B86" s="15"/>
      <c r="C86" s="3">
        <v>58</v>
      </c>
      <c r="D86" s="3" t="s">
        <v>7</v>
      </c>
      <c r="E86" s="3">
        <f>IF(K85&gt;$C$3+$C$4,"",Tableau146912[[#This Row],[cumul_temps]]/60)</f>
        <v>37</v>
      </c>
      <c r="F86" s="3">
        <f t="shared" ref="F86:F96" si="225">IF(K85&gt;$C$3+$C$4,"",60*$B$14)</f>
        <v>108</v>
      </c>
      <c r="H86" s="13"/>
      <c r="I86" s="13"/>
      <c r="J86" s="13"/>
      <c r="K86" s="3">
        <f>IF(K85&lt;($B$3+$B$4)*60,K85+Tableau146912[[#This Row],[duree_standard]],K85)</f>
        <v>2220</v>
      </c>
      <c r="L86" s="3">
        <f t="shared" ref="L86:L96" si="226">IF(K85&gt;$C$3+$C$4,"",$B$7)</f>
        <v>6</v>
      </c>
      <c r="M86" s="3">
        <f t="shared" ref="M86:M96" si="227">IF(K85&gt;$C$3+$C$4,"",$B$10)</f>
        <v>25</v>
      </c>
    </row>
    <row r="87" spans="2:13" x14ac:dyDescent="0.25">
      <c r="B87" s="15"/>
      <c r="C87" s="3">
        <v>59</v>
      </c>
      <c r="D87" s="3" t="s">
        <v>27</v>
      </c>
      <c r="E87" s="3">
        <f>IF(K86&gt;$C$3+$C$4,"",Tableau146912[[#This Row],[cumul_temps]]/60)</f>
        <v>37</v>
      </c>
      <c r="F87" s="3">
        <f t="shared" ref="F87:F96" si="228">IF(K86&gt;$C$3+$C$4,"",60*$B$13)</f>
        <v>144</v>
      </c>
      <c r="G87" s="3">
        <f t="shared" ref="G87" si="229">IF(K86&gt;$C$3+$C$4,"",G85+1)</f>
        <v>30</v>
      </c>
      <c r="H87" s="13">
        <f t="shared" ref="H87:H96" si="230">IF(K86&gt;$C$3+$C$4,"",(K86-$G$26)/$C$4)</f>
        <v>1</v>
      </c>
      <c r="I87" s="13">
        <f>IF(K86&gt;$C$3+$C$4,"",ROUND(IF(Tableau146912[[#This Row],[Temps_Ref]]&gt;0,($F$13*Tableau146912[[#This Row],[Temps_Ref]]^4+$G$13*Tableau146912[[#This Row],[Temps_Ref]]^3+$H$13*Tableau146912[[#This Row],[Temps_Ref]]^2+$I$13)/$J$13,0),1))</f>
        <v>1</v>
      </c>
      <c r="J87" s="3">
        <f>IF(K86&gt;$C$3+$C$4,"",Tableau146912[[#This Row],[duree_standard]]*Tableau146912[[#This Row],[Correction_DuréeEffortIntense]])</f>
        <v>144</v>
      </c>
      <c r="K87" s="3">
        <f>IF(K86&lt;($B$3+$B$4)*60,K86+Tableau146912[[#This Row],[Durée_Corrigée]],K86)</f>
        <v>2220</v>
      </c>
      <c r="L87" s="3">
        <f t="shared" ref="L87:L96" si="231">IF(K86&gt;$C$3+$C$4,"",$B$8)</f>
        <v>13</v>
      </c>
      <c r="M87" s="3">
        <f t="shared" ref="M87:M96" si="232">IF(K86&gt;$C$3+$C$4,"",$B$11)</f>
        <v>33</v>
      </c>
    </row>
    <row r="88" spans="2:13" x14ac:dyDescent="0.25">
      <c r="B88" s="15"/>
      <c r="C88" s="3">
        <v>60</v>
      </c>
      <c r="D88" s="3" t="s">
        <v>7</v>
      </c>
      <c r="E88" s="3">
        <f>IF(K87&gt;$C$3+$C$4,"",Tableau146912[[#This Row],[cumul_temps]]/60)</f>
        <v>37</v>
      </c>
      <c r="F88" s="3">
        <f t="shared" ref="F88:F96" si="233">IF(K87&gt;$C$3+$C$4,"",60*$B$14)</f>
        <v>108</v>
      </c>
      <c r="H88" s="13"/>
      <c r="I88" s="13"/>
      <c r="J88" s="13"/>
      <c r="K88" s="3">
        <f>IF(K87&lt;($B$3+$B$4)*60,K87+Tableau146912[[#This Row],[duree_standard]],K87)</f>
        <v>2220</v>
      </c>
      <c r="L88" s="3">
        <f t="shared" ref="L88:L96" si="234">IF(K87&gt;$C$3+$C$4,"",$B$7)</f>
        <v>6</v>
      </c>
      <c r="M88" s="3">
        <f t="shared" ref="M88:M96" si="235">IF(K87&gt;$C$3+$C$4,"",$B$10)</f>
        <v>25</v>
      </c>
    </row>
    <row r="89" spans="2:13" x14ac:dyDescent="0.25">
      <c r="B89" s="15"/>
      <c r="C89" s="3">
        <v>61</v>
      </c>
      <c r="D89" s="3" t="s">
        <v>27</v>
      </c>
      <c r="E89" s="3">
        <f>IF(K88&gt;$C$3+$C$4,"",Tableau146912[[#This Row],[cumul_temps]]/60)</f>
        <v>37</v>
      </c>
      <c r="F89" s="3">
        <f t="shared" ref="F89:F96" si="236">IF(K88&gt;$C$3+$C$4,"",60*$B$13)</f>
        <v>144</v>
      </c>
      <c r="G89" s="3">
        <f t="shared" ref="G89" si="237">IF(K88&gt;$C$3+$C$4,"",G87+1)</f>
        <v>31</v>
      </c>
      <c r="H89" s="13">
        <f t="shared" ref="H89:H96" si="238">IF(K88&gt;$C$3+$C$4,"",(K88-$G$26)/$C$4)</f>
        <v>1</v>
      </c>
      <c r="I89" s="13">
        <f>IF(K88&gt;$C$3+$C$4,"",ROUND(IF(Tableau146912[[#This Row],[Temps_Ref]]&gt;0,($F$13*Tableau146912[[#This Row],[Temps_Ref]]^4+$G$13*Tableau146912[[#This Row],[Temps_Ref]]^3+$H$13*Tableau146912[[#This Row],[Temps_Ref]]^2+$I$13)/$J$13,0),1))</f>
        <v>1</v>
      </c>
      <c r="J89" s="3">
        <f>IF(K88&gt;$C$3+$C$4,"",Tableau146912[[#This Row],[duree_standard]]*Tableau146912[[#This Row],[Correction_DuréeEffortIntense]])</f>
        <v>144</v>
      </c>
      <c r="K89" s="3">
        <f>IF(K88&lt;($B$3+$B$4)*60,K88+Tableau146912[[#This Row],[Durée_Corrigée]],K88)</f>
        <v>2220</v>
      </c>
      <c r="L89" s="3">
        <f t="shared" ref="L89:L96" si="239">IF(K88&gt;$C$3+$C$4,"",$B$8)</f>
        <v>13</v>
      </c>
      <c r="M89" s="3">
        <f t="shared" ref="M89:M96" si="240">IF(K88&gt;$C$3+$C$4,"",$B$11)</f>
        <v>33</v>
      </c>
    </row>
    <row r="90" spans="2:13" x14ac:dyDescent="0.25">
      <c r="B90" s="15"/>
      <c r="C90" s="3">
        <v>62</v>
      </c>
      <c r="D90" s="3" t="s">
        <v>7</v>
      </c>
      <c r="E90" s="3">
        <f>IF(K89&gt;$C$3+$C$4,"",Tableau146912[[#This Row],[cumul_temps]]/60)</f>
        <v>37</v>
      </c>
      <c r="F90" s="3">
        <f t="shared" ref="F90:F96" si="241">IF(K89&gt;$C$3+$C$4,"",60*$B$14)</f>
        <v>108</v>
      </c>
      <c r="H90" s="13"/>
      <c r="I90" s="13"/>
      <c r="J90" s="13"/>
      <c r="K90" s="3">
        <f>IF(K89&lt;($B$3+$B$4)*60,K89+Tableau146912[[#This Row],[duree_standard]],K89)</f>
        <v>2220</v>
      </c>
      <c r="L90" s="3">
        <f t="shared" ref="L90:L96" si="242">IF(K89&gt;$C$3+$C$4,"",$B$7)</f>
        <v>6</v>
      </c>
      <c r="M90" s="3">
        <f t="shared" ref="M90:M96" si="243">IF(K89&gt;$C$3+$C$4,"",$B$10)</f>
        <v>25</v>
      </c>
    </row>
    <row r="91" spans="2:13" x14ac:dyDescent="0.25">
      <c r="B91" s="15"/>
      <c r="C91" s="3">
        <v>63</v>
      </c>
      <c r="D91" s="3" t="s">
        <v>27</v>
      </c>
      <c r="E91" s="3">
        <f>IF(K90&gt;$C$3+$C$4,"",Tableau146912[[#This Row],[cumul_temps]]/60)</f>
        <v>37</v>
      </c>
      <c r="F91" s="3">
        <f t="shared" ref="F91:F96" si="244">IF(K90&gt;$C$3+$C$4,"",60*$B$13)</f>
        <v>144</v>
      </c>
      <c r="G91" s="3">
        <f t="shared" ref="G91" si="245">IF(K90&gt;$C$3+$C$4,"",G89+1)</f>
        <v>32</v>
      </c>
      <c r="H91" s="13">
        <f t="shared" ref="H91:H96" si="246">IF(K90&gt;$C$3+$C$4,"",(K90-$G$26)/$C$4)</f>
        <v>1</v>
      </c>
      <c r="I91" s="13">
        <f>IF(K90&gt;$C$3+$C$4,"",ROUND(IF(Tableau146912[[#This Row],[Temps_Ref]]&gt;0,($F$13*Tableau146912[[#This Row],[Temps_Ref]]^4+$G$13*Tableau146912[[#This Row],[Temps_Ref]]^3+$H$13*Tableau146912[[#This Row],[Temps_Ref]]^2+$I$13)/$J$13,0),1))</f>
        <v>1</v>
      </c>
      <c r="J91" s="3">
        <f>IF(K90&gt;$C$3+$C$4,"",Tableau146912[[#This Row],[duree_standard]]*Tableau146912[[#This Row],[Correction_DuréeEffortIntense]])</f>
        <v>144</v>
      </c>
      <c r="K91" s="3">
        <f>IF(K90&lt;($B$3+$B$4)*60,K90+Tableau146912[[#This Row],[Durée_Corrigée]],K90)</f>
        <v>2220</v>
      </c>
      <c r="L91" s="3">
        <f t="shared" ref="L91:L96" si="247">IF(K90&gt;$C$3+$C$4,"",$B$8)</f>
        <v>13</v>
      </c>
      <c r="M91" s="3">
        <f t="shared" ref="M91:M96" si="248">IF(K90&gt;$C$3+$C$4,"",$B$11)</f>
        <v>33</v>
      </c>
    </row>
    <row r="92" spans="2:13" x14ac:dyDescent="0.25">
      <c r="B92" s="15"/>
      <c r="C92" s="3">
        <v>64</v>
      </c>
      <c r="D92" s="3" t="s">
        <v>7</v>
      </c>
      <c r="E92" s="3">
        <f>IF(K91&gt;$C$3+$C$4,"",Tableau146912[[#This Row],[cumul_temps]]/60)</f>
        <v>37</v>
      </c>
      <c r="F92" s="3">
        <f t="shared" ref="F92:F96" si="249">IF(K91&gt;$C$3+$C$4,"",60*$B$14)</f>
        <v>108</v>
      </c>
      <c r="H92" s="13"/>
      <c r="I92" s="13"/>
      <c r="J92" s="13"/>
      <c r="K92" s="3">
        <f>IF(K91&lt;($B$3+$B$4)*60,K91+Tableau146912[[#This Row],[duree_standard]],K91)</f>
        <v>2220</v>
      </c>
      <c r="L92" s="3">
        <f t="shared" ref="L92:L96" si="250">IF(K91&gt;$C$3+$C$4,"",$B$7)</f>
        <v>6</v>
      </c>
      <c r="M92" s="3">
        <f t="shared" ref="M92:M96" si="251">IF(K91&gt;$C$3+$C$4,"",$B$10)</f>
        <v>25</v>
      </c>
    </row>
    <row r="93" spans="2:13" x14ac:dyDescent="0.25">
      <c r="B93" s="15"/>
      <c r="C93" s="3">
        <v>65</v>
      </c>
      <c r="D93" s="3" t="s">
        <v>27</v>
      </c>
      <c r="E93" s="3">
        <f>IF(K92&gt;$C$3+$C$4,"",Tableau146912[[#This Row],[cumul_temps]]/60)</f>
        <v>37</v>
      </c>
      <c r="F93" s="3">
        <f t="shared" ref="F93:F96" si="252">IF(K92&gt;$C$3+$C$4,"",60*$B$13)</f>
        <v>144</v>
      </c>
      <c r="G93" s="3">
        <f t="shared" ref="G93" si="253">IF(K92&gt;$C$3+$C$4,"",G91+1)</f>
        <v>33</v>
      </c>
      <c r="H93" s="13">
        <f t="shared" ref="H93:H96" si="254">IF(K92&gt;$C$3+$C$4,"",(K92-$G$26)/$C$4)</f>
        <v>1</v>
      </c>
      <c r="I93" s="13">
        <f>IF(K92&gt;$C$3+$C$4,"",ROUND(IF(Tableau146912[[#This Row],[Temps_Ref]]&gt;0,($F$13*Tableau146912[[#This Row],[Temps_Ref]]^4+$G$13*Tableau146912[[#This Row],[Temps_Ref]]^3+$H$13*Tableau146912[[#This Row],[Temps_Ref]]^2+$I$13)/$J$13,0),1))</f>
        <v>1</v>
      </c>
      <c r="J93" s="3">
        <f>IF(K92&gt;$C$3+$C$4,"",Tableau146912[[#This Row],[duree_standard]]*Tableau146912[[#This Row],[Correction_DuréeEffortIntense]])</f>
        <v>144</v>
      </c>
      <c r="K93" s="3">
        <f>IF(K92&lt;($B$3+$B$4)*60,K92+Tableau146912[[#This Row],[Durée_Corrigée]],K92)</f>
        <v>2220</v>
      </c>
      <c r="L93" s="3">
        <f t="shared" ref="L93:L96" si="255">IF(K92&gt;$C$3+$C$4,"",$B$8)</f>
        <v>13</v>
      </c>
      <c r="M93" s="3">
        <f t="shared" ref="M93:M96" si="256">IF(K92&gt;$C$3+$C$4,"",$B$11)</f>
        <v>33</v>
      </c>
    </row>
    <row r="94" spans="2:13" x14ac:dyDescent="0.25">
      <c r="B94" s="15"/>
      <c r="C94" s="3">
        <v>66</v>
      </c>
      <c r="D94" s="3" t="s">
        <v>7</v>
      </c>
      <c r="E94" s="3">
        <f>IF(K93&gt;$C$3+$C$4,"",Tableau146912[[#This Row],[cumul_temps]]/60)</f>
        <v>37</v>
      </c>
      <c r="F94" s="3">
        <f t="shared" ref="F94:F96" si="257">IF(K93&gt;$C$3+$C$4,"",60*$B$14)</f>
        <v>108</v>
      </c>
      <c r="H94" s="13"/>
      <c r="I94" s="13"/>
      <c r="J94" s="13"/>
      <c r="K94" s="3">
        <f>IF(K93&lt;($B$3+$B$4)*60,K93+Tableau146912[[#This Row],[duree_standard]],K93)</f>
        <v>2220</v>
      </c>
      <c r="L94" s="3">
        <f t="shared" ref="L94:L96" si="258">IF(K93&gt;$C$3+$C$4,"",$B$7)</f>
        <v>6</v>
      </c>
      <c r="M94" s="3">
        <f t="shared" ref="M94:M96" si="259">IF(K93&gt;$C$3+$C$4,"",$B$10)</f>
        <v>25</v>
      </c>
    </row>
    <row r="95" spans="2:13" x14ac:dyDescent="0.25">
      <c r="B95" s="15"/>
      <c r="C95" s="3">
        <v>67</v>
      </c>
      <c r="D95" s="3" t="s">
        <v>27</v>
      </c>
      <c r="E95" s="3">
        <f>IF(K94&gt;$C$3+$C$4,"",Tableau146912[[#This Row],[cumul_temps]]/60)</f>
        <v>37</v>
      </c>
      <c r="F95" s="3">
        <f t="shared" ref="F95:F96" si="260">IF(K94&gt;$C$3+$C$4,"",60*$B$13)</f>
        <v>144</v>
      </c>
      <c r="G95" s="3">
        <f t="shared" ref="G95" si="261">IF(K94&gt;$C$3+$C$4,"",G93+1)</f>
        <v>34</v>
      </c>
      <c r="H95" s="13">
        <f t="shared" ref="H95:H96" si="262">IF(K94&gt;$C$3+$C$4,"",(K94-$G$26)/$C$4)</f>
        <v>1</v>
      </c>
      <c r="I95" s="13">
        <f>IF(K94&gt;$C$3+$C$4,"",ROUND(IF(Tableau146912[[#This Row],[Temps_Ref]]&gt;0,($F$13*Tableau146912[[#This Row],[Temps_Ref]]^4+$G$13*Tableau146912[[#This Row],[Temps_Ref]]^3+$H$13*Tableau146912[[#This Row],[Temps_Ref]]^2+$I$13)/$J$13,0),1))</f>
        <v>1</v>
      </c>
      <c r="J95" s="3">
        <f>IF(K94&gt;$C$3+$C$4,"",Tableau146912[[#This Row],[duree_standard]]*Tableau146912[[#This Row],[Correction_DuréeEffortIntense]])</f>
        <v>144</v>
      </c>
      <c r="K95" s="3">
        <f>IF(K94&lt;($B$3+$B$4)*60,K94+Tableau146912[[#This Row],[Durée_Corrigée]],K94)</f>
        <v>2220</v>
      </c>
      <c r="L95" s="3">
        <f t="shared" ref="L95:L96" si="263">IF(K94&gt;$C$3+$C$4,"",$B$8)</f>
        <v>13</v>
      </c>
      <c r="M95" s="3">
        <f t="shared" ref="M95:M96" si="264">IF(K94&gt;$C$3+$C$4,"",$B$11)</f>
        <v>33</v>
      </c>
    </row>
    <row r="96" spans="2:13" x14ac:dyDescent="0.25">
      <c r="B96" s="16"/>
      <c r="C96" s="3">
        <v>68</v>
      </c>
      <c r="D96" s="3" t="s">
        <v>7</v>
      </c>
      <c r="E96" s="3">
        <f>IF(K95&gt;$C$3+$C$4,"",Tableau146912[[#This Row],[cumul_temps]]/60)</f>
        <v>37</v>
      </c>
      <c r="F96" s="3">
        <f t="shared" ref="F96" si="265">IF(K95&gt;$C$3+$C$4,"",60*$B$14)</f>
        <v>108</v>
      </c>
      <c r="H96" s="13"/>
      <c r="I96" s="13"/>
      <c r="J96" s="13"/>
      <c r="K96" s="3">
        <f>IF(K95&lt;($B$3+$B$4)*60,K95+Tableau146912[[#This Row],[duree_standard]],K95)</f>
        <v>2220</v>
      </c>
      <c r="L96" s="3">
        <f t="shared" ref="L96" si="266">IF(K95&gt;$C$3+$C$4,"",$B$7)</f>
        <v>6</v>
      </c>
      <c r="M96" s="3">
        <f t="shared" ref="M96" si="267">IF(K95&gt;$C$3+$C$4,"",$B$10)</f>
        <v>25</v>
      </c>
    </row>
    <row r="98" spans="2:10" x14ac:dyDescent="0.25">
      <c r="B98" s="14" t="s">
        <v>15</v>
      </c>
      <c r="C98" s="3" t="s">
        <v>0</v>
      </c>
      <c r="D98" s="3" t="s">
        <v>1</v>
      </c>
      <c r="E98" s="3" t="s">
        <v>2</v>
      </c>
      <c r="F98" s="3" t="s">
        <v>3</v>
      </c>
      <c r="G98" s="3" t="s">
        <v>22</v>
      </c>
      <c r="H98" s="3" t="s">
        <v>4</v>
      </c>
      <c r="I98" s="3" t="s">
        <v>5</v>
      </c>
      <c r="J98"/>
    </row>
    <row r="99" spans="2:10" x14ac:dyDescent="0.25">
      <c r="B99" s="15"/>
      <c r="C99" s="3">
        <v>1</v>
      </c>
      <c r="D99" s="3" t="s">
        <v>7</v>
      </c>
      <c r="E99" s="3">
        <f>$K$96/60</f>
        <v>37</v>
      </c>
      <c r="F99" s="3">
        <v>60</v>
      </c>
      <c r="G99" s="3">
        <f>$K$96+Tableau1571013[[#This Row],[duree_s]]</f>
        <v>2280</v>
      </c>
      <c r="H99" s="3">
        <f t="shared" ref="H99" si="268">$B$7</f>
        <v>6</v>
      </c>
      <c r="I99" s="3">
        <f t="shared" ref="I99" si="269">$B$10</f>
        <v>25</v>
      </c>
      <c r="J99"/>
    </row>
    <row r="100" spans="2:10" x14ac:dyDescent="0.25">
      <c r="B100" s="15"/>
      <c r="C100" s="3">
        <v>2</v>
      </c>
      <c r="D100" s="3" t="s">
        <v>24</v>
      </c>
      <c r="E100" s="3">
        <f>G99/60</f>
        <v>38</v>
      </c>
      <c r="F100" s="3">
        <v>60</v>
      </c>
      <c r="G100" s="3">
        <f>+G99+Tableau1571013[[#This Row],[duree_s]]</f>
        <v>2340</v>
      </c>
      <c r="H100" s="3">
        <f>ROUND($B$7+($B$8-$B$7)*2/3,0)</f>
        <v>11</v>
      </c>
      <c r="I100" s="3">
        <f>ROUND($B$10+($B$11-$B$10)*2/3,0)</f>
        <v>30</v>
      </c>
      <c r="J100"/>
    </row>
    <row r="101" spans="2:10" x14ac:dyDescent="0.25">
      <c r="B101" s="15"/>
      <c r="C101" s="3">
        <v>3</v>
      </c>
      <c r="D101" s="3" t="s">
        <v>7</v>
      </c>
      <c r="E101" s="3">
        <f t="shared" ref="E101:E105" si="270">G100/60</f>
        <v>39</v>
      </c>
      <c r="F101" s="3">
        <v>60</v>
      </c>
      <c r="G101" s="3">
        <f>+G100+Tableau1571013[[#This Row],[duree_s]]</f>
        <v>2400</v>
      </c>
      <c r="H101" s="3">
        <f t="shared" ref="H101" si="271">$B$7</f>
        <v>6</v>
      </c>
      <c r="I101" s="3">
        <f t="shared" ref="I101" si="272">$B$10</f>
        <v>25</v>
      </c>
      <c r="J101"/>
    </row>
    <row r="102" spans="2:10" x14ac:dyDescent="0.25">
      <c r="B102" s="15"/>
      <c r="C102" s="3">
        <v>6</v>
      </c>
      <c r="D102" s="3" t="s">
        <v>23</v>
      </c>
      <c r="E102" s="3">
        <f t="shared" si="270"/>
        <v>40</v>
      </c>
      <c r="F102" s="3">
        <v>60</v>
      </c>
      <c r="G102" s="3">
        <f>+G101+Tableau1571013[[#This Row],[duree_s]]</f>
        <v>2460</v>
      </c>
      <c r="H102" s="3">
        <f>ROUND($B$7+($B$8-$B$7)/3,0)</f>
        <v>8</v>
      </c>
      <c r="I102" s="3">
        <f>ROUND($B$10+($B$11-$B$10)*2/3,0)</f>
        <v>30</v>
      </c>
      <c r="J102"/>
    </row>
    <row r="103" spans="2:10" x14ac:dyDescent="0.25">
      <c r="B103" s="15"/>
      <c r="C103" s="3">
        <v>7</v>
      </c>
      <c r="D103" s="3" t="s">
        <v>7</v>
      </c>
      <c r="E103" s="3">
        <f t="shared" si="270"/>
        <v>41</v>
      </c>
      <c r="F103" s="3">
        <v>60</v>
      </c>
      <c r="G103" s="3">
        <f>+G102+Tableau1571013[[#This Row],[duree_s]]</f>
        <v>2520</v>
      </c>
      <c r="H103" s="3">
        <f t="shared" ref="H103" si="273">$B$7</f>
        <v>6</v>
      </c>
      <c r="I103" s="3">
        <f t="shared" ref="I103" si="274">$B$10</f>
        <v>25</v>
      </c>
      <c r="J103"/>
    </row>
    <row r="104" spans="2:10" x14ac:dyDescent="0.25">
      <c r="B104" s="15"/>
      <c r="C104" s="3">
        <v>8</v>
      </c>
      <c r="D104" s="3" t="s">
        <v>23</v>
      </c>
      <c r="E104" s="3">
        <f t="shared" si="270"/>
        <v>42</v>
      </c>
      <c r="F104" s="3">
        <v>60</v>
      </c>
      <c r="G104" s="3">
        <f>+G103+Tableau1571013[[#This Row],[duree_s]]</f>
        <v>2580</v>
      </c>
      <c r="H104" s="3">
        <f>$B$7</f>
        <v>6</v>
      </c>
      <c r="I104" s="3">
        <f>ROUND($B$10+($B$11-$B$10)/3,0)</f>
        <v>28</v>
      </c>
      <c r="J104"/>
    </row>
    <row r="105" spans="2:10" x14ac:dyDescent="0.25">
      <c r="B105" s="16"/>
      <c r="C105" s="3">
        <v>9</v>
      </c>
      <c r="D105" s="3" t="s">
        <v>7</v>
      </c>
      <c r="E105" s="3">
        <f t="shared" si="270"/>
        <v>43</v>
      </c>
      <c r="F105" s="3">
        <f>$D$1*60-G104</f>
        <v>120</v>
      </c>
      <c r="G105" s="3">
        <f>+G104+Tableau1571013[[#This Row],[duree_s]]</f>
        <v>2700</v>
      </c>
      <c r="H105" s="3">
        <v>2</v>
      </c>
      <c r="I105" s="3">
        <v>22</v>
      </c>
      <c r="J105"/>
    </row>
  </sheetData>
  <mergeCells count="4">
    <mergeCell ref="E11:J11"/>
    <mergeCell ref="B17:B26"/>
    <mergeCell ref="B28:B96"/>
    <mergeCell ref="B98:B105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DB979-94A6-49E9-896A-456F4B87A825}">
  <dimension ref="A1:M105"/>
  <sheetViews>
    <sheetView zoomScale="85" zoomScaleNormal="85" workbookViewId="0">
      <pane xSplit="3" ySplit="14" topLeftCell="D63" activePane="bottomRight" state="frozen"/>
      <selection pane="topRight" activeCell="D1" sqref="D1"/>
      <selection pane="bottomLeft" activeCell="A16" sqref="A16"/>
      <selection pane="bottomRight" activeCell="B13" sqref="B13"/>
    </sheetView>
  </sheetViews>
  <sheetFormatPr baseColWidth="10" defaultRowHeight="15" x14ac:dyDescent="0.25"/>
  <cols>
    <col min="1" max="1" width="38.85546875" bestFit="1" customWidth="1"/>
    <col min="2" max="2" width="15.140625" bestFit="1" customWidth="1"/>
    <col min="3" max="3" width="13.140625" style="3" bestFit="1" customWidth="1"/>
    <col min="4" max="4" width="15.140625" style="3" bestFit="1" customWidth="1"/>
    <col min="5" max="5" width="15.28515625" style="3" bestFit="1" customWidth="1"/>
    <col min="6" max="6" width="13.140625" style="3" bestFit="1" customWidth="1"/>
    <col min="7" max="7" width="25.42578125" style="3" bestFit="1" customWidth="1"/>
    <col min="8" max="8" width="23.7109375" style="3" bestFit="1" customWidth="1"/>
    <col min="9" max="9" width="15.140625" style="3" customWidth="1"/>
    <col min="10" max="10" width="19.85546875" style="3" bestFit="1" customWidth="1"/>
    <col min="11" max="12" width="18" bestFit="1" customWidth="1"/>
    <col min="13" max="13" width="9.5703125" bestFit="1" customWidth="1"/>
  </cols>
  <sheetData>
    <row r="1" spans="1:10" ht="18.75" x14ac:dyDescent="0.3">
      <c r="A1" s="2" t="s">
        <v>41</v>
      </c>
      <c r="B1" s="2">
        <v>60</v>
      </c>
      <c r="C1" s="4" t="s">
        <v>18</v>
      </c>
      <c r="D1" s="3">
        <f>IF($B$1&lt;25,25,IF($B$1&gt;75,75,$B$1))</f>
        <v>60</v>
      </c>
      <c r="E1" s="3">
        <f>$G$105/60</f>
        <v>60</v>
      </c>
    </row>
    <row r="2" spans="1:10" x14ac:dyDescent="0.25">
      <c r="A2" s="1" t="s">
        <v>14</v>
      </c>
      <c r="B2" s="1">
        <f>+D1*60</f>
        <v>3600</v>
      </c>
    </row>
    <row r="3" spans="1:10" x14ac:dyDescent="0.25">
      <c r="A3" s="1" t="s">
        <v>16</v>
      </c>
      <c r="B3" s="1">
        <f>10</f>
        <v>10</v>
      </c>
      <c r="C3" s="6">
        <f>+B3*60</f>
        <v>600</v>
      </c>
    </row>
    <row r="4" spans="1:10" x14ac:dyDescent="0.25">
      <c r="A4" s="1" t="s">
        <v>25</v>
      </c>
      <c r="B4" s="1">
        <f>+D1-(B3+B5)</f>
        <v>42</v>
      </c>
      <c r="C4" s="6">
        <f t="shared" ref="C4:C5" si="0">+B4*60</f>
        <v>2520</v>
      </c>
    </row>
    <row r="5" spans="1:10" x14ac:dyDescent="0.25">
      <c r="A5" s="1" t="s">
        <v>17</v>
      </c>
      <c r="B5" s="1">
        <v>8</v>
      </c>
      <c r="C5" s="6">
        <f t="shared" si="0"/>
        <v>480</v>
      </c>
    </row>
    <row r="6" spans="1:10" ht="18.75" x14ac:dyDescent="0.3">
      <c r="A6" s="2" t="s">
        <v>19</v>
      </c>
      <c r="B6" s="2">
        <v>5</v>
      </c>
    </row>
    <row r="7" spans="1:10" x14ac:dyDescent="0.25">
      <c r="A7" s="1" t="s">
        <v>8</v>
      </c>
      <c r="B7" s="1">
        <f>ROUND(2 + ($B$6-1)*6/9,0)</f>
        <v>5</v>
      </c>
    </row>
    <row r="8" spans="1:10" x14ac:dyDescent="0.25">
      <c r="A8" s="1" t="s">
        <v>9</v>
      </c>
      <c r="B8" s="1">
        <f>ROUND(6 + ($B$6-1)*10/9,0)</f>
        <v>10</v>
      </c>
    </row>
    <row r="9" spans="1:10" ht="18.75" x14ac:dyDescent="0.3">
      <c r="A9" s="2" t="s">
        <v>20</v>
      </c>
      <c r="B9" s="2">
        <v>7</v>
      </c>
    </row>
    <row r="10" spans="1:10" x14ac:dyDescent="0.25">
      <c r="A10" s="1" t="s">
        <v>10</v>
      </c>
      <c r="B10" s="1">
        <f>ROUND(22 + ($B$9-1)*6/9,0)</f>
        <v>26</v>
      </c>
    </row>
    <row r="11" spans="1:10" ht="15.75" x14ac:dyDescent="0.25">
      <c r="A11" s="1" t="s">
        <v>11</v>
      </c>
      <c r="B11" s="1">
        <f>ROUND(30 + ($B$9-1)*6/9,0)</f>
        <v>34</v>
      </c>
      <c r="E11" s="17" t="s">
        <v>40</v>
      </c>
      <c r="F11" s="18"/>
      <c r="G11" s="18"/>
      <c r="H11" s="18"/>
      <c r="I11" s="18"/>
      <c r="J11" s="19"/>
    </row>
    <row r="12" spans="1:10" ht="18.75" x14ac:dyDescent="0.3">
      <c r="A12" s="2" t="s">
        <v>12</v>
      </c>
      <c r="B12" s="2">
        <v>3</v>
      </c>
      <c r="C12" s="21" t="s">
        <v>42</v>
      </c>
      <c r="E12" s="7" t="s">
        <v>39</v>
      </c>
      <c r="F12" s="8" t="s">
        <v>33</v>
      </c>
      <c r="G12" s="8" t="s">
        <v>35</v>
      </c>
      <c r="H12" s="8" t="s">
        <v>36</v>
      </c>
      <c r="I12" s="8" t="s">
        <v>34</v>
      </c>
      <c r="J12" s="9" t="s">
        <v>37</v>
      </c>
    </row>
    <row r="13" spans="1:10" x14ac:dyDescent="0.25">
      <c r="A13" s="1" t="s">
        <v>32</v>
      </c>
      <c r="B13" s="5">
        <f>ROUND(((1-$C$13)*$B$12+10*$C$13-1)/9*$B$14,1)</f>
        <v>1.6</v>
      </c>
      <c r="C13" s="20">
        <v>2</v>
      </c>
      <c r="E13" s="10">
        <f>103/72</f>
        <v>1.4305555555555556</v>
      </c>
      <c r="F13" s="11">
        <v>425</v>
      </c>
      <c r="G13" s="11">
        <v>-1010</v>
      </c>
      <c r="H13" s="11">
        <v>603</v>
      </c>
      <c r="I13" s="11">
        <v>18</v>
      </c>
      <c r="J13" s="12">
        <v>36</v>
      </c>
    </row>
    <row r="14" spans="1:10" x14ac:dyDescent="0.25">
      <c r="A14" s="1" t="s">
        <v>21</v>
      </c>
      <c r="B14" s="5">
        <f>ROUND(0.5 + (B12-1)*2/9,1)</f>
        <v>0.9</v>
      </c>
    </row>
    <row r="15" spans="1:10" x14ac:dyDescent="0.25">
      <c r="A15" s="1"/>
      <c r="B15" s="1"/>
    </row>
    <row r="17" spans="2:13" x14ac:dyDescent="0.25">
      <c r="B17" s="14" t="s">
        <v>13</v>
      </c>
      <c r="C17" s="3" t="s">
        <v>0</v>
      </c>
      <c r="D17" s="3" t="s">
        <v>1</v>
      </c>
      <c r="E17" s="3" t="s">
        <v>2</v>
      </c>
      <c r="F17" s="3" t="s">
        <v>3</v>
      </c>
      <c r="G17" s="3" t="s">
        <v>22</v>
      </c>
      <c r="H17" s="3" t="s">
        <v>4</v>
      </c>
      <c r="I17" s="3" t="s">
        <v>5</v>
      </c>
      <c r="J17"/>
    </row>
    <row r="18" spans="2:13" x14ac:dyDescent="0.25">
      <c r="B18" s="15"/>
      <c r="C18" s="3">
        <v>1</v>
      </c>
      <c r="D18" s="3" t="s">
        <v>6</v>
      </c>
      <c r="E18" s="3">
        <v>0</v>
      </c>
      <c r="F18" s="3">
        <v>120</v>
      </c>
      <c r="G18" s="3">
        <f>+F18</f>
        <v>120</v>
      </c>
      <c r="H18" s="3">
        <v>2</v>
      </c>
      <c r="I18" s="3">
        <v>22</v>
      </c>
      <c r="J18"/>
    </row>
    <row r="19" spans="2:13" x14ac:dyDescent="0.25">
      <c r="B19" s="15"/>
      <c r="C19" s="3">
        <v>2</v>
      </c>
      <c r="D19" s="3" t="s">
        <v>23</v>
      </c>
      <c r="E19" s="3">
        <f>+G18/60</f>
        <v>2</v>
      </c>
      <c r="F19" s="3">
        <v>60</v>
      </c>
      <c r="G19" s="3">
        <f t="shared" ref="G19:G26" si="1">+G18+F19</f>
        <v>180</v>
      </c>
      <c r="H19" s="3">
        <f>$B$7</f>
        <v>5</v>
      </c>
      <c r="I19" s="3">
        <f>ROUND($B$10+($B$11-$B$10)/3,0)</f>
        <v>29</v>
      </c>
      <c r="J19"/>
    </row>
    <row r="20" spans="2:13" x14ac:dyDescent="0.25">
      <c r="B20" s="15"/>
      <c r="C20" s="3">
        <v>3</v>
      </c>
      <c r="D20" s="3" t="s">
        <v>7</v>
      </c>
      <c r="E20" s="3">
        <f t="shared" ref="E20:E26" si="2">+G19/60</f>
        <v>3</v>
      </c>
      <c r="F20" s="3">
        <v>60</v>
      </c>
      <c r="G20" s="3">
        <f t="shared" si="1"/>
        <v>240</v>
      </c>
      <c r="H20" s="3">
        <v>2</v>
      </c>
      <c r="I20" s="3">
        <v>22</v>
      </c>
      <c r="J20"/>
    </row>
    <row r="21" spans="2:13" x14ac:dyDescent="0.25">
      <c r="B21" s="15"/>
      <c r="C21" s="3">
        <v>4</v>
      </c>
      <c r="D21" s="3" t="s">
        <v>24</v>
      </c>
      <c r="E21" s="3">
        <f t="shared" si="2"/>
        <v>4</v>
      </c>
      <c r="F21" s="3">
        <v>60</v>
      </c>
      <c r="G21" s="3">
        <f t="shared" si="1"/>
        <v>300</v>
      </c>
      <c r="H21" s="3">
        <f>ROUND($B$7+($B$8-$B$7)/3,0)</f>
        <v>7</v>
      </c>
      <c r="I21" s="3">
        <f>ROUND($B$10+($B$11-$B$10)/3,0)</f>
        <v>29</v>
      </c>
      <c r="J21"/>
    </row>
    <row r="22" spans="2:13" x14ac:dyDescent="0.25">
      <c r="B22" s="15"/>
      <c r="C22" s="3">
        <v>5</v>
      </c>
      <c r="D22" s="3" t="s">
        <v>7</v>
      </c>
      <c r="E22" s="3">
        <f t="shared" si="2"/>
        <v>5</v>
      </c>
      <c r="F22" s="3">
        <v>60</v>
      </c>
      <c r="G22" s="3">
        <f t="shared" si="1"/>
        <v>360</v>
      </c>
      <c r="H22" s="3">
        <f t="shared" ref="H22" si="3">$B$7</f>
        <v>5</v>
      </c>
      <c r="I22" s="3">
        <f t="shared" ref="I22" si="4">$B$10</f>
        <v>26</v>
      </c>
      <c r="J22"/>
    </row>
    <row r="23" spans="2:13" x14ac:dyDescent="0.25">
      <c r="B23" s="15"/>
      <c r="C23" s="3">
        <v>6</v>
      </c>
      <c r="D23" s="3" t="s">
        <v>23</v>
      </c>
      <c r="E23" s="3">
        <f t="shared" si="2"/>
        <v>6</v>
      </c>
      <c r="F23" s="3">
        <v>60</v>
      </c>
      <c r="G23" s="3">
        <f t="shared" si="1"/>
        <v>420</v>
      </c>
      <c r="H23" s="3">
        <f>ROUND($B$7+($B$8-$B$7)/3,0)</f>
        <v>7</v>
      </c>
      <c r="I23" s="3">
        <f>ROUND($B$10+($B$11-$B$10)*2/3,0)</f>
        <v>31</v>
      </c>
      <c r="J23"/>
    </row>
    <row r="24" spans="2:13" x14ac:dyDescent="0.25">
      <c r="B24" s="15"/>
      <c r="C24" s="3">
        <v>7</v>
      </c>
      <c r="D24" s="3" t="s">
        <v>7</v>
      </c>
      <c r="E24" s="3">
        <f t="shared" si="2"/>
        <v>7</v>
      </c>
      <c r="F24" s="3">
        <v>60</v>
      </c>
      <c r="G24" s="3">
        <f t="shared" si="1"/>
        <v>480</v>
      </c>
      <c r="H24" s="3">
        <f t="shared" ref="H24" si="5">$B$7</f>
        <v>5</v>
      </c>
      <c r="I24" s="3">
        <f t="shared" ref="I24" si="6">$B$10</f>
        <v>26</v>
      </c>
      <c r="J24"/>
    </row>
    <row r="25" spans="2:13" x14ac:dyDescent="0.25">
      <c r="B25" s="15"/>
      <c r="C25" s="3">
        <v>8</v>
      </c>
      <c r="D25" s="3" t="s">
        <v>24</v>
      </c>
      <c r="E25" s="3">
        <f t="shared" si="2"/>
        <v>8</v>
      </c>
      <c r="F25" s="3">
        <v>60</v>
      </c>
      <c r="G25" s="3">
        <f t="shared" si="1"/>
        <v>540</v>
      </c>
      <c r="H25" s="3">
        <f>ROUND($B$7+($B$8-$B$7)*2/3,0)</f>
        <v>8</v>
      </c>
      <c r="I25" s="3">
        <f>ROUND($B$10+($B$11-$B$10)*2/3,0)</f>
        <v>31</v>
      </c>
      <c r="J25"/>
    </row>
    <row r="26" spans="2:13" x14ac:dyDescent="0.25">
      <c r="B26" s="16"/>
      <c r="C26" s="3">
        <v>9</v>
      </c>
      <c r="D26" s="3" t="s">
        <v>7</v>
      </c>
      <c r="E26" s="3">
        <f t="shared" si="2"/>
        <v>9</v>
      </c>
      <c r="F26" s="3">
        <v>60</v>
      </c>
      <c r="G26" s="3">
        <f t="shared" si="1"/>
        <v>600</v>
      </c>
      <c r="H26" s="3">
        <f t="shared" ref="H26" si="7">$B$7</f>
        <v>5</v>
      </c>
      <c r="I26" s="3">
        <f t="shared" ref="I26" si="8">$B$10</f>
        <v>26</v>
      </c>
      <c r="J26"/>
    </row>
    <row r="28" spans="2:13" ht="15" customHeight="1" x14ac:dyDescent="0.25">
      <c r="B28" s="14" t="s">
        <v>26</v>
      </c>
      <c r="C28" s="3" t="s">
        <v>0</v>
      </c>
      <c r="D28" s="3" t="s">
        <v>1</v>
      </c>
      <c r="E28" s="3" t="s">
        <v>2</v>
      </c>
      <c r="F28" s="3" t="s">
        <v>30</v>
      </c>
      <c r="G28" s="3" t="s">
        <v>28</v>
      </c>
      <c r="H28" s="3" t="s">
        <v>38</v>
      </c>
      <c r="I28" s="3" t="s">
        <v>29</v>
      </c>
      <c r="J28" s="3" t="s">
        <v>31</v>
      </c>
      <c r="K28" s="3" t="s">
        <v>22</v>
      </c>
      <c r="L28" s="3" t="s">
        <v>4</v>
      </c>
      <c r="M28" s="3" t="s">
        <v>5</v>
      </c>
    </row>
    <row r="29" spans="2:13" x14ac:dyDescent="0.25">
      <c r="B29" s="15"/>
      <c r="C29" s="3">
        <v>1</v>
      </c>
      <c r="D29" s="3" t="s">
        <v>27</v>
      </c>
      <c r="E29" s="3">
        <f>$G$26/60</f>
        <v>10</v>
      </c>
      <c r="F29" s="3">
        <f>60*$B$13</f>
        <v>96</v>
      </c>
      <c r="G29" s="3">
        <v>1</v>
      </c>
      <c r="H29" s="13">
        <v>0</v>
      </c>
      <c r="I29" s="13">
        <f>ROUND(($F$13*Tableau14691215[[#This Row],[Temps_Ref]]^4+$G$13*Tableau14691215[[#This Row],[Temps_Ref]]^3+$H$13*Tableau14691215[[#This Row],[Temps_Ref]]^2+$I$13)/$J$13,1)</f>
        <v>0.5</v>
      </c>
      <c r="J29" s="3">
        <f>Tableau14691215[[#This Row],[duree_standard]]*Tableau14691215[[#This Row],[Correction_DuréeEffortIntense]]</f>
        <v>48</v>
      </c>
      <c r="K29" s="3">
        <f>$G$26+Tableau14691215[[#This Row],[Durée_Corrigée]]</f>
        <v>648</v>
      </c>
      <c r="L29" s="3">
        <f>$B$8</f>
        <v>10</v>
      </c>
      <c r="M29" s="3">
        <f>$B$11</f>
        <v>34</v>
      </c>
    </row>
    <row r="30" spans="2:13" x14ac:dyDescent="0.25">
      <c r="B30" s="15"/>
      <c r="C30" s="3">
        <v>2</v>
      </c>
      <c r="D30" s="3" t="s">
        <v>7</v>
      </c>
      <c r="E30" s="3">
        <f>IF(K29&gt;$C$3+$C$4,"",Tableau14691215[[#This Row],[cumul_temps]]/60)</f>
        <v>11.7</v>
      </c>
      <c r="F30" s="3">
        <f>IF(K29&gt;$C$3+$C$4,"",60*$B$14)</f>
        <v>54</v>
      </c>
      <c r="H30" s="13"/>
      <c r="I30" s="13"/>
      <c r="J30" s="13"/>
      <c r="K30" s="3">
        <f>IF(K29&lt;($B$3+$B$4)*60,K29+Tableau14691215[[#This Row],[duree_standard]],K29)</f>
        <v>702</v>
      </c>
      <c r="L30" s="3">
        <f>IF(K29&gt;$C$3+$C$4,"",$B$7)</f>
        <v>5</v>
      </c>
      <c r="M30" s="3">
        <f>IF(K29&gt;$C$3+$C$4,"",$B$10)</f>
        <v>26</v>
      </c>
    </row>
    <row r="31" spans="2:13" x14ac:dyDescent="0.25">
      <c r="B31" s="15"/>
      <c r="C31" s="3">
        <v>3</v>
      </c>
      <c r="D31" s="3" t="s">
        <v>27</v>
      </c>
      <c r="E31" s="3">
        <f>IF(K30&gt;$C$3+$C$4,"",Tableau14691215[[#This Row],[cumul_temps]]/60)</f>
        <v>12.5</v>
      </c>
      <c r="F31" s="3">
        <f>IF(K30&gt;$C$3+$C$4,"",60*$B$13)</f>
        <v>96</v>
      </c>
      <c r="G31" s="3">
        <f>IF(K30&gt;$C$3+$C$4,"",G29+1)</f>
        <v>2</v>
      </c>
      <c r="H31" s="13">
        <f>IF(K30&gt;$C$3+$C$4,"",(K30-$G$26)/$C$4)</f>
        <v>4.0476190476190478E-2</v>
      </c>
      <c r="I31" s="13">
        <f>IF(K30&gt;$C$3+$C$4,"",ROUND(IF(Tableau14691215[[#This Row],[Temps_Ref]]&gt;0,($F$13*Tableau14691215[[#This Row],[Temps_Ref]]^4+$G$13*Tableau14691215[[#This Row],[Temps_Ref]]^3+$H$13*Tableau14691215[[#This Row],[Temps_Ref]]^2+$I$13)/$J$13,0),1))</f>
        <v>0.5</v>
      </c>
      <c r="J31" s="3">
        <f>IF(K30&gt;$C$3+$C$4,"",Tableau14691215[[#This Row],[duree_standard]]*Tableau14691215[[#This Row],[Correction_DuréeEffortIntense]])</f>
        <v>48</v>
      </c>
      <c r="K31" s="3">
        <f>IF(K30&lt;($B$3+$B$4)*60,K30+Tableau14691215[[#This Row],[Durée_Corrigée]],K30)</f>
        <v>750</v>
      </c>
      <c r="L31" s="3">
        <f>IF(K30&gt;$C$3+$C$4,"",$B$8)</f>
        <v>10</v>
      </c>
      <c r="M31" s="3">
        <f>IF(K30&gt;$C$3+$C$4,"",$B$11)</f>
        <v>34</v>
      </c>
    </row>
    <row r="32" spans="2:13" x14ac:dyDescent="0.25">
      <c r="B32" s="15"/>
      <c r="C32" s="3">
        <v>4</v>
      </c>
      <c r="D32" s="3" t="s">
        <v>7</v>
      </c>
      <c r="E32" s="3">
        <f>IF(K31&gt;$C$3+$C$4,"",Tableau14691215[[#This Row],[cumul_temps]]/60)</f>
        <v>13.4</v>
      </c>
      <c r="F32" s="3">
        <f t="shared" ref="F32" si="9">IF(K31&gt;$C$3+$C$4,"",60*$B$14)</f>
        <v>54</v>
      </c>
      <c r="H32" s="13"/>
      <c r="I32" s="13"/>
      <c r="J32" s="13"/>
      <c r="K32" s="3">
        <f>IF(K31&lt;($B$3+$B$4)*60,K31+Tableau14691215[[#This Row],[duree_standard]],K31)</f>
        <v>804</v>
      </c>
      <c r="L32" s="3">
        <f t="shared" ref="L32:L63" si="10">IF(K31&gt;$C$3+$C$4,"",$B$7)</f>
        <v>5</v>
      </c>
      <c r="M32" s="3">
        <f t="shared" ref="M32:M63" si="11">IF(K31&gt;$C$3+$C$4,"",$B$10)</f>
        <v>26</v>
      </c>
    </row>
    <row r="33" spans="2:13" x14ac:dyDescent="0.25">
      <c r="B33" s="15"/>
      <c r="C33" s="3">
        <v>5</v>
      </c>
      <c r="D33" s="3" t="s">
        <v>27</v>
      </c>
      <c r="E33" s="3">
        <f>IF(K32&gt;$C$3+$C$4,"",Tableau14691215[[#This Row],[cumul_temps]]/60)</f>
        <v>14.360000000000001</v>
      </c>
      <c r="F33" s="3">
        <f t="shared" ref="F33" si="12">IF(K32&gt;$C$3+$C$4,"",60*$B$13)</f>
        <v>96</v>
      </c>
      <c r="G33" s="3">
        <f t="shared" ref="G33" si="13">IF(K32&gt;$C$3+$C$4,"",G31+1)</f>
        <v>3</v>
      </c>
      <c r="H33" s="13">
        <f t="shared" ref="H33" si="14">IF(K32&gt;$C$3+$C$4,"",(K32-$G$26)/$C$4)</f>
        <v>8.0952380952380956E-2</v>
      </c>
      <c r="I33" s="13">
        <f>IF(K32&gt;$C$3+$C$4,"",ROUND(IF(Tableau14691215[[#This Row],[Temps_Ref]]&gt;0,($F$13*Tableau14691215[[#This Row],[Temps_Ref]]^4+$G$13*Tableau14691215[[#This Row],[Temps_Ref]]^3+$H$13*Tableau14691215[[#This Row],[Temps_Ref]]^2+$I$13)/$J$13,0),1))</f>
        <v>0.6</v>
      </c>
      <c r="J33" s="3">
        <f>IF(K32&gt;$C$3+$C$4,"",Tableau14691215[[#This Row],[duree_standard]]*Tableau14691215[[#This Row],[Correction_DuréeEffortIntense]])</f>
        <v>57.599999999999994</v>
      </c>
      <c r="K33" s="3">
        <f>IF(K32&lt;($B$3+$B$4)*60,K32+Tableau14691215[[#This Row],[Durée_Corrigée]],K32)</f>
        <v>861.6</v>
      </c>
      <c r="L33" s="3">
        <f t="shared" ref="L33:L64" si="15">IF(K32&gt;$C$3+$C$4,"",$B$8)</f>
        <v>10</v>
      </c>
      <c r="M33" s="3">
        <f t="shared" ref="M33:M64" si="16">IF(K32&gt;$C$3+$C$4,"",$B$11)</f>
        <v>34</v>
      </c>
    </row>
    <row r="34" spans="2:13" x14ac:dyDescent="0.25">
      <c r="B34" s="15"/>
      <c r="C34" s="3">
        <v>6</v>
      </c>
      <c r="D34" s="3" t="s">
        <v>7</v>
      </c>
      <c r="E34" s="3">
        <f>IF(K33&gt;$C$3+$C$4,"",Tableau14691215[[#This Row],[cumul_temps]]/60)</f>
        <v>15.26</v>
      </c>
      <c r="F34" s="3">
        <f t="shared" ref="F34" si="17">IF(K33&gt;$C$3+$C$4,"",60*$B$14)</f>
        <v>54</v>
      </c>
      <c r="H34" s="13"/>
      <c r="I34" s="13"/>
      <c r="J34" s="13"/>
      <c r="K34" s="3">
        <f>IF(K33&lt;($B$3+$B$4)*60,K33+Tableau14691215[[#This Row],[duree_standard]],K33)</f>
        <v>915.6</v>
      </c>
      <c r="L34" s="3">
        <f t="shared" ref="L34:L65" si="18">IF(K33&gt;$C$3+$C$4,"",$B$7)</f>
        <v>5</v>
      </c>
      <c r="M34" s="3">
        <f t="shared" ref="M34:M65" si="19">IF(K33&gt;$C$3+$C$4,"",$B$10)</f>
        <v>26</v>
      </c>
    </row>
    <row r="35" spans="2:13" x14ac:dyDescent="0.25">
      <c r="B35" s="15"/>
      <c r="C35" s="3">
        <v>7</v>
      </c>
      <c r="D35" s="3" t="s">
        <v>27</v>
      </c>
      <c r="E35" s="3">
        <f>IF(K34&gt;$C$3+$C$4,"",Tableau14691215[[#This Row],[cumul_temps]]/60)</f>
        <v>16.38</v>
      </c>
      <c r="F35" s="3">
        <f t="shared" ref="F35" si="20">IF(K34&gt;$C$3+$C$4,"",60*$B$13)</f>
        <v>96</v>
      </c>
      <c r="G35" s="3">
        <f t="shared" ref="G35" si="21">IF(K34&gt;$C$3+$C$4,"",G33+1)</f>
        <v>4</v>
      </c>
      <c r="H35" s="13">
        <f t="shared" ref="H35" si="22">IF(K34&gt;$C$3+$C$4,"",(K34-$G$26)/$C$4)</f>
        <v>0.12523809523809526</v>
      </c>
      <c r="I35" s="13">
        <f>IF(K34&gt;$C$3+$C$4,"",ROUND(IF(Tableau14691215[[#This Row],[Temps_Ref]]&gt;0,($F$13*Tableau14691215[[#This Row],[Temps_Ref]]^4+$G$13*Tableau14691215[[#This Row],[Temps_Ref]]^3+$H$13*Tableau14691215[[#This Row],[Temps_Ref]]^2+$I$13)/$J$13,0),1))</f>
        <v>0.7</v>
      </c>
      <c r="J35" s="3">
        <f>IF(K34&gt;$C$3+$C$4,"",Tableau14691215[[#This Row],[duree_standard]]*Tableau14691215[[#This Row],[Correction_DuréeEffortIntense]])</f>
        <v>67.199999999999989</v>
      </c>
      <c r="K35" s="3">
        <f>IF(K34&lt;($B$3+$B$4)*60,K34+Tableau14691215[[#This Row],[Durée_Corrigée]],K34)</f>
        <v>982.8</v>
      </c>
      <c r="L35" s="3">
        <f t="shared" ref="L35:L66" si="23">IF(K34&gt;$C$3+$C$4,"",$B$8)</f>
        <v>10</v>
      </c>
      <c r="M35" s="3">
        <f t="shared" ref="M35:M66" si="24">IF(K34&gt;$C$3+$C$4,"",$B$11)</f>
        <v>34</v>
      </c>
    </row>
    <row r="36" spans="2:13" x14ac:dyDescent="0.25">
      <c r="B36" s="15"/>
      <c r="C36" s="3">
        <v>8</v>
      </c>
      <c r="D36" s="3" t="s">
        <v>7</v>
      </c>
      <c r="E36" s="3">
        <f>IF(K35&gt;$C$3+$C$4,"",Tableau14691215[[#This Row],[cumul_temps]]/60)</f>
        <v>17.279999999999998</v>
      </c>
      <c r="F36" s="3">
        <f t="shared" ref="F36" si="25">IF(K35&gt;$C$3+$C$4,"",60*$B$14)</f>
        <v>54</v>
      </c>
      <c r="H36" s="13"/>
      <c r="I36" s="13"/>
      <c r="J36" s="13"/>
      <c r="K36" s="3">
        <f>IF(K35&lt;($B$3+$B$4)*60,K35+Tableau14691215[[#This Row],[duree_standard]],K35)</f>
        <v>1036.8</v>
      </c>
      <c r="L36" s="3">
        <f t="shared" ref="L36:L67" si="26">IF(K35&gt;$C$3+$C$4,"",$B$7)</f>
        <v>5</v>
      </c>
      <c r="M36" s="3">
        <f t="shared" ref="M36:M67" si="27">IF(K35&gt;$C$3+$C$4,"",$B$10)</f>
        <v>26</v>
      </c>
    </row>
    <row r="37" spans="2:13" x14ac:dyDescent="0.25">
      <c r="B37" s="15"/>
      <c r="C37" s="3">
        <v>9</v>
      </c>
      <c r="D37" s="3" t="s">
        <v>27</v>
      </c>
      <c r="E37" s="3">
        <f>IF(K36&gt;$C$3+$C$4,"",Tableau14691215[[#This Row],[cumul_temps]]/60)</f>
        <v>18.720000000000002</v>
      </c>
      <c r="F37" s="3">
        <f t="shared" ref="F37" si="28">IF(K36&gt;$C$3+$C$4,"",60*$B$13)</f>
        <v>96</v>
      </c>
      <c r="G37" s="3">
        <f t="shared" ref="G37" si="29">IF(K36&gt;$C$3+$C$4,"",G35+1)</f>
        <v>5</v>
      </c>
      <c r="H37" s="13">
        <f t="shared" ref="H37" si="30">IF(K36&gt;$C$3+$C$4,"",(K36-$G$26)/$C$4)</f>
        <v>0.17333333333333331</v>
      </c>
      <c r="I37" s="13">
        <f>IF(K36&gt;$C$3+$C$4,"",ROUND(IF(Tableau14691215[[#This Row],[Temps_Ref]]&gt;0,($F$13*Tableau14691215[[#This Row],[Temps_Ref]]^4+$G$13*Tableau14691215[[#This Row],[Temps_Ref]]^3+$H$13*Tableau14691215[[#This Row],[Temps_Ref]]^2+$I$13)/$J$13,0),1))</f>
        <v>0.9</v>
      </c>
      <c r="J37" s="3">
        <f>IF(K36&gt;$C$3+$C$4,"",Tableau14691215[[#This Row],[duree_standard]]*Tableau14691215[[#This Row],[Correction_DuréeEffortIntense]])</f>
        <v>86.4</v>
      </c>
      <c r="K37" s="3">
        <f>IF(K36&lt;($B$3+$B$4)*60,K36+Tableau14691215[[#This Row],[Durée_Corrigée]],K36)</f>
        <v>1123.2</v>
      </c>
      <c r="L37" s="3">
        <f t="shared" ref="L37:L68" si="31">IF(K36&gt;$C$3+$C$4,"",$B$8)</f>
        <v>10</v>
      </c>
      <c r="M37" s="3">
        <f t="shared" ref="M37:M68" si="32">IF(K36&gt;$C$3+$C$4,"",$B$11)</f>
        <v>34</v>
      </c>
    </row>
    <row r="38" spans="2:13" x14ac:dyDescent="0.25">
      <c r="B38" s="15"/>
      <c r="C38" s="3">
        <v>10</v>
      </c>
      <c r="D38" s="3" t="s">
        <v>7</v>
      </c>
      <c r="E38" s="3">
        <f>IF(K37&gt;$C$3+$C$4,"",Tableau14691215[[#This Row],[cumul_temps]]/60)</f>
        <v>19.62</v>
      </c>
      <c r="F38" s="3">
        <f t="shared" ref="F38" si="33">IF(K37&gt;$C$3+$C$4,"",60*$B$14)</f>
        <v>54</v>
      </c>
      <c r="H38" s="13"/>
      <c r="I38" s="13"/>
      <c r="J38" s="13"/>
      <c r="K38" s="3">
        <f>IF(K37&lt;($B$3+$B$4)*60,K37+Tableau14691215[[#This Row],[duree_standard]],K37)</f>
        <v>1177.2</v>
      </c>
      <c r="L38" s="3">
        <f t="shared" ref="L38:L69" si="34">IF(K37&gt;$C$3+$C$4,"",$B$7)</f>
        <v>5</v>
      </c>
      <c r="M38" s="3">
        <f t="shared" ref="M38:M69" si="35">IF(K37&gt;$C$3+$C$4,"",$B$10)</f>
        <v>26</v>
      </c>
    </row>
    <row r="39" spans="2:13" x14ac:dyDescent="0.25">
      <c r="B39" s="15"/>
      <c r="C39" s="3">
        <v>11</v>
      </c>
      <c r="D39" s="3" t="s">
        <v>27</v>
      </c>
      <c r="E39" s="3">
        <f>IF(K38&gt;$C$3+$C$4,"",Tableau14691215[[#This Row],[cumul_temps]]/60)</f>
        <v>21.38</v>
      </c>
      <c r="F39" s="3">
        <f t="shared" ref="F39" si="36">IF(K38&gt;$C$3+$C$4,"",60*$B$13)</f>
        <v>96</v>
      </c>
      <c r="G39" s="3">
        <f t="shared" ref="G39" si="37">IF(K38&gt;$C$3+$C$4,"",G37+1)</f>
        <v>6</v>
      </c>
      <c r="H39" s="13">
        <f t="shared" ref="H39" si="38">IF(K38&gt;$C$3+$C$4,"",(K38-$G$26)/$C$4)</f>
        <v>0.22904761904761906</v>
      </c>
      <c r="I39" s="13">
        <f>IF(K38&gt;$C$3+$C$4,"",ROUND(IF(Tableau14691215[[#This Row],[Temps_Ref]]&gt;0,($F$13*Tableau14691215[[#This Row],[Temps_Ref]]^4+$G$13*Tableau14691215[[#This Row],[Temps_Ref]]^3+$H$13*Tableau14691215[[#This Row],[Temps_Ref]]^2+$I$13)/$J$13,0),1))</f>
        <v>1.1000000000000001</v>
      </c>
      <c r="J39" s="3">
        <f>IF(K38&gt;$C$3+$C$4,"",Tableau14691215[[#This Row],[duree_standard]]*Tableau14691215[[#This Row],[Correction_DuréeEffortIntense]])</f>
        <v>105.60000000000001</v>
      </c>
      <c r="K39" s="3">
        <f>IF(K38&lt;($B$3+$B$4)*60,K38+Tableau14691215[[#This Row],[Durée_Corrigée]],K38)</f>
        <v>1282.8</v>
      </c>
      <c r="L39" s="3">
        <f t="shared" ref="L39:L70" si="39">IF(K38&gt;$C$3+$C$4,"",$B$8)</f>
        <v>10</v>
      </c>
      <c r="M39" s="3">
        <f t="shared" ref="M39:M70" si="40">IF(K38&gt;$C$3+$C$4,"",$B$11)</f>
        <v>34</v>
      </c>
    </row>
    <row r="40" spans="2:13" x14ac:dyDescent="0.25">
      <c r="B40" s="15"/>
      <c r="C40" s="3">
        <v>12</v>
      </c>
      <c r="D40" s="3" t="s">
        <v>7</v>
      </c>
      <c r="E40" s="3">
        <f>IF(K39&gt;$C$3+$C$4,"",Tableau14691215[[#This Row],[cumul_temps]]/60)</f>
        <v>22.279999999999998</v>
      </c>
      <c r="F40" s="3">
        <f t="shared" ref="F40" si="41">IF(K39&gt;$C$3+$C$4,"",60*$B$14)</f>
        <v>54</v>
      </c>
      <c r="H40" s="13"/>
      <c r="I40" s="13"/>
      <c r="J40" s="13"/>
      <c r="K40" s="3">
        <f>IF(K39&lt;($B$3+$B$4)*60,K39+Tableau14691215[[#This Row],[duree_standard]],K39)</f>
        <v>1336.8</v>
      </c>
      <c r="L40" s="3">
        <f t="shared" ref="L40:L71" si="42">IF(K39&gt;$C$3+$C$4,"",$B$7)</f>
        <v>5</v>
      </c>
      <c r="M40" s="3">
        <f t="shared" ref="M40:M71" si="43">IF(K39&gt;$C$3+$C$4,"",$B$10)</f>
        <v>26</v>
      </c>
    </row>
    <row r="41" spans="2:13" x14ac:dyDescent="0.25">
      <c r="B41" s="15"/>
      <c r="C41" s="3">
        <v>13</v>
      </c>
      <c r="D41" s="3" t="s">
        <v>27</v>
      </c>
      <c r="E41" s="3">
        <f>IF(K40&gt;$C$3+$C$4,"",Tableau14691215[[#This Row],[cumul_temps]]/60)</f>
        <v>24.36</v>
      </c>
      <c r="F41" s="3">
        <f t="shared" ref="F41" si="44">IF(K40&gt;$C$3+$C$4,"",60*$B$13)</f>
        <v>96</v>
      </c>
      <c r="G41" s="3">
        <f t="shared" ref="G41" si="45">IF(K40&gt;$C$3+$C$4,"",G39+1)</f>
        <v>7</v>
      </c>
      <c r="H41" s="13">
        <f t="shared" ref="H41" si="46">IF(K40&gt;$C$3+$C$4,"",(K40-$G$26)/$C$4)</f>
        <v>0.29238095238095235</v>
      </c>
      <c r="I41" s="13">
        <f>IF(K40&gt;$C$3+$C$4,"",ROUND(IF(Tableau14691215[[#This Row],[Temps_Ref]]&gt;0,($F$13*Tableau14691215[[#This Row],[Temps_Ref]]^4+$G$13*Tableau14691215[[#This Row],[Temps_Ref]]^3+$H$13*Tableau14691215[[#This Row],[Temps_Ref]]^2+$I$13)/$J$13,0),1))</f>
        <v>1.3</v>
      </c>
      <c r="J41" s="3">
        <f>IF(K40&gt;$C$3+$C$4,"",Tableau14691215[[#This Row],[duree_standard]]*Tableau14691215[[#This Row],[Correction_DuréeEffortIntense]])</f>
        <v>124.80000000000001</v>
      </c>
      <c r="K41" s="3">
        <f>IF(K40&lt;($B$3+$B$4)*60,K40+Tableau14691215[[#This Row],[Durée_Corrigée]],K40)</f>
        <v>1461.6</v>
      </c>
      <c r="L41" s="3">
        <f t="shared" ref="L41:L72" si="47">IF(K40&gt;$C$3+$C$4,"",$B$8)</f>
        <v>10</v>
      </c>
      <c r="M41" s="3">
        <f t="shared" ref="M41:M72" si="48">IF(K40&gt;$C$3+$C$4,"",$B$11)</f>
        <v>34</v>
      </c>
    </row>
    <row r="42" spans="2:13" x14ac:dyDescent="0.25">
      <c r="B42" s="15"/>
      <c r="C42" s="3">
        <v>14</v>
      </c>
      <c r="D42" s="3" t="s">
        <v>7</v>
      </c>
      <c r="E42" s="3">
        <f>IF(K41&gt;$C$3+$C$4,"",Tableau14691215[[#This Row],[cumul_temps]]/60)</f>
        <v>25.259999999999998</v>
      </c>
      <c r="F42" s="3">
        <f t="shared" ref="F42" si="49">IF(K41&gt;$C$3+$C$4,"",60*$B$14)</f>
        <v>54</v>
      </c>
      <c r="H42" s="13"/>
      <c r="I42" s="13"/>
      <c r="J42" s="13"/>
      <c r="K42" s="3">
        <f>IF(K41&lt;($B$3+$B$4)*60,K41+Tableau14691215[[#This Row],[duree_standard]],K41)</f>
        <v>1515.6</v>
      </c>
      <c r="L42" s="3">
        <f t="shared" ref="L42:L73" si="50">IF(K41&gt;$C$3+$C$4,"",$B$7)</f>
        <v>5</v>
      </c>
      <c r="M42" s="3">
        <f t="shared" ref="M42:M73" si="51">IF(K41&gt;$C$3+$C$4,"",$B$10)</f>
        <v>26</v>
      </c>
    </row>
    <row r="43" spans="2:13" x14ac:dyDescent="0.25">
      <c r="B43" s="15"/>
      <c r="C43" s="3">
        <v>15</v>
      </c>
      <c r="D43" s="3" t="s">
        <v>27</v>
      </c>
      <c r="E43" s="3">
        <f>IF(K42&gt;$C$3+$C$4,"",Tableau14691215[[#This Row],[cumul_temps]]/60)</f>
        <v>27.819999999999997</v>
      </c>
      <c r="F43" s="3">
        <f t="shared" ref="F43" si="52">IF(K42&gt;$C$3+$C$4,"",60*$B$13)</f>
        <v>96</v>
      </c>
      <c r="G43" s="3">
        <f t="shared" ref="G43" si="53">IF(K42&gt;$C$3+$C$4,"",G41+1)</f>
        <v>8</v>
      </c>
      <c r="H43" s="13">
        <f t="shared" ref="H43" si="54">IF(K42&gt;$C$3+$C$4,"",(K42-$G$26)/$C$4)</f>
        <v>0.36333333333333329</v>
      </c>
      <c r="I43" s="13">
        <f>IF(K42&gt;$C$3+$C$4,"",ROUND(IF(Tableau14691215[[#This Row],[Temps_Ref]]&gt;0,($F$13*Tableau14691215[[#This Row],[Temps_Ref]]^4+$G$13*Tableau14691215[[#This Row],[Temps_Ref]]^3+$H$13*Tableau14691215[[#This Row],[Temps_Ref]]^2+$I$13)/$J$13,0),1))</f>
        <v>1.6</v>
      </c>
      <c r="J43" s="3">
        <f>IF(K42&gt;$C$3+$C$4,"",Tableau14691215[[#This Row],[duree_standard]]*Tableau14691215[[#This Row],[Correction_DuréeEffortIntense]])</f>
        <v>153.60000000000002</v>
      </c>
      <c r="K43" s="3">
        <f>IF(K42&lt;($B$3+$B$4)*60,K42+Tableau14691215[[#This Row],[Durée_Corrigée]],K42)</f>
        <v>1669.1999999999998</v>
      </c>
      <c r="L43" s="3">
        <f t="shared" ref="L43:L74" si="55">IF(K42&gt;$C$3+$C$4,"",$B$8)</f>
        <v>10</v>
      </c>
      <c r="M43" s="3">
        <f t="shared" ref="M43:M74" si="56">IF(K42&gt;$C$3+$C$4,"",$B$11)</f>
        <v>34</v>
      </c>
    </row>
    <row r="44" spans="2:13" x14ac:dyDescent="0.25">
      <c r="B44" s="15"/>
      <c r="C44" s="3">
        <v>16</v>
      </c>
      <c r="D44" s="3" t="s">
        <v>7</v>
      </c>
      <c r="E44" s="3">
        <f>IF(K43&gt;$C$3+$C$4,"",Tableau14691215[[#This Row],[cumul_temps]]/60)</f>
        <v>28.719999999999995</v>
      </c>
      <c r="F44" s="3">
        <f t="shared" ref="F44" si="57">IF(K43&gt;$C$3+$C$4,"",60*$B$14)</f>
        <v>54</v>
      </c>
      <c r="H44" s="13"/>
      <c r="I44" s="13"/>
      <c r="J44" s="13"/>
      <c r="K44" s="3">
        <f>IF(K43&lt;($B$3+$B$4)*60,K43+Tableau14691215[[#This Row],[duree_standard]],K43)</f>
        <v>1723.1999999999998</v>
      </c>
      <c r="L44" s="3">
        <f t="shared" ref="L44:L75" si="58">IF(K43&gt;$C$3+$C$4,"",$B$7)</f>
        <v>5</v>
      </c>
      <c r="M44" s="3">
        <f t="shared" ref="M44:M75" si="59">IF(K43&gt;$C$3+$C$4,"",$B$10)</f>
        <v>26</v>
      </c>
    </row>
    <row r="45" spans="2:13" x14ac:dyDescent="0.25">
      <c r="B45" s="15"/>
      <c r="C45" s="3">
        <v>17</v>
      </c>
      <c r="D45" s="3" t="s">
        <v>27</v>
      </c>
      <c r="E45" s="3">
        <f>IF(K44&gt;$C$3+$C$4,"",Tableau14691215[[#This Row],[cumul_temps]]/60)</f>
        <v>31.599999999999998</v>
      </c>
      <c r="F45" s="3">
        <f t="shared" ref="F45" si="60">IF(K44&gt;$C$3+$C$4,"",60*$B$13)</f>
        <v>96</v>
      </c>
      <c r="G45" s="3">
        <f t="shared" ref="G45" si="61">IF(K44&gt;$C$3+$C$4,"",G43+1)</f>
        <v>9</v>
      </c>
      <c r="H45" s="13">
        <f t="shared" ref="H45" si="62">IF(K44&gt;$C$3+$C$4,"",(K44-$G$26)/$C$4)</f>
        <v>0.44571428571428562</v>
      </c>
      <c r="I45" s="13">
        <f>IF(K44&gt;$C$3+$C$4,"",ROUND(IF(Tableau14691215[[#This Row],[Temps_Ref]]&gt;0,($F$13*Tableau14691215[[#This Row],[Temps_Ref]]^4+$G$13*Tableau14691215[[#This Row],[Temps_Ref]]^3+$H$13*Tableau14691215[[#This Row],[Temps_Ref]]^2+$I$13)/$J$13,0),1))</f>
        <v>1.8</v>
      </c>
      <c r="J45" s="3">
        <f>IF(K44&gt;$C$3+$C$4,"",Tableau14691215[[#This Row],[duree_standard]]*Tableau14691215[[#This Row],[Correction_DuréeEffortIntense]])</f>
        <v>172.8</v>
      </c>
      <c r="K45" s="3">
        <f>IF(K44&lt;($B$3+$B$4)*60,K44+Tableau14691215[[#This Row],[Durée_Corrigée]],K44)</f>
        <v>1895.9999999999998</v>
      </c>
      <c r="L45" s="3">
        <f t="shared" ref="L45:L76" si="63">IF(K44&gt;$C$3+$C$4,"",$B$8)</f>
        <v>10</v>
      </c>
      <c r="M45" s="3">
        <f t="shared" ref="M45:M76" si="64">IF(K44&gt;$C$3+$C$4,"",$B$11)</f>
        <v>34</v>
      </c>
    </row>
    <row r="46" spans="2:13" x14ac:dyDescent="0.25">
      <c r="B46" s="15"/>
      <c r="C46" s="3">
        <v>18</v>
      </c>
      <c r="D46" s="3" t="s">
        <v>7</v>
      </c>
      <c r="E46" s="3">
        <f>IF(K45&gt;$C$3+$C$4,"",Tableau14691215[[#This Row],[cumul_temps]]/60)</f>
        <v>32.499999999999993</v>
      </c>
      <c r="F46" s="3">
        <f t="shared" ref="F46" si="65">IF(K45&gt;$C$3+$C$4,"",60*$B$14)</f>
        <v>54</v>
      </c>
      <c r="H46" s="13"/>
      <c r="I46" s="13"/>
      <c r="J46" s="13"/>
      <c r="K46" s="3">
        <f>IF(K45&lt;($B$3+$B$4)*60,K45+Tableau14691215[[#This Row],[duree_standard]],K45)</f>
        <v>1949.9999999999998</v>
      </c>
      <c r="L46" s="3">
        <f t="shared" ref="L46:L77" si="66">IF(K45&gt;$C$3+$C$4,"",$B$7)</f>
        <v>5</v>
      </c>
      <c r="M46" s="3">
        <f t="shared" ref="M46:M77" si="67">IF(K45&gt;$C$3+$C$4,"",$B$10)</f>
        <v>26</v>
      </c>
    </row>
    <row r="47" spans="2:13" x14ac:dyDescent="0.25">
      <c r="B47" s="15"/>
      <c r="C47" s="3">
        <v>19</v>
      </c>
      <c r="D47" s="3" t="s">
        <v>27</v>
      </c>
      <c r="E47" s="3">
        <f>IF(K46&gt;$C$3+$C$4,"",Tableau14691215[[#This Row],[cumul_temps]]/60)</f>
        <v>35.700000000000003</v>
      </c>
      <c r="F47" s="3">
        <f t="shared" ref="F47" si="68">IF(K46&gt;$C$3+$C$4,"",60*$B$13)</f>
        <v>96</v>
      </c>
      <c r="G47" s="3">
        <f t="shared" ref="G47" si="69">IF(K46&gt;$C$3+$C$4,"",G45+1)</f>
        <v>10</v>
      </c>
      <c r="H47" s="13">
        <f t="shared" ref="H47" si="70">IF(K46&gt;$C$3+$C$4,"",(K46-$G$26)/$C$4)</f>
        <v>0.53571428571428559</v>
      </c>
      <c r="I47" s="13">
        <f>IF(K46&gt;$C$3+$C$4,"",ROUND(IF(Tableau14691215[[#This Row],[Temps_Ref]]&gt;0,($F$13*Tableau14691215[[#This Row],[Temps_Ref]]^4+$G$13*Tableau14691215[[#This Row],[Temps_Ref]]^3+$H$13*Tableau14691215[[#This Row],[Temps_Ref]]^2+$I$13)/$J$13,0),1))</f>
        <v>2</v>
      </c>
      <c r="J47" s="3">
        <f>IF(K46&gt;$C$3+$C$4,"",Tableau14691215[[#This Row],[duree_standard]]*Tableau14691215[[#This Row],[Correction_DuréeEffortIntense]])</f>
        <v>192</v>
      </c>
      <c r="K47" s="3">
        <f>IF(K46&lt;($B$3+$B$4)*60,K46+Tableau14691215[[#This Row],[Durée_Corrigée]],K46)</f>
        <v>2142</v>
      </c>
      <c r="L47" s="3">
        <f t="shared" ref="L47:L78" si="71">IF(K46&gt;$C$3+$C$4,"",$B$8)</f>
        <v>10</v>
      </c>
      <c r="M47" s="3">
        <f t="shared" ref="M47:M78" si="72">IF(K46&gt;$C$3+$C$4,"",$B$11)</f>
        <v>34</v>
      </c>
    </row>
    <row r="48" spans="2:13" x14ac:dyDescent="0.25">
      <c r="B48" s="15"/>
      <c r="C48" s="3">
        <v>20</v>
      </c>
      <c r="D48" s="3" t="s">
        <v>7</v>
      </c>
      <c r="E48" s="3">
        <f>IF(K47&gt;$C$3+$C$4,"",Tableau14691215[[#This Row],[cumul_temps]]/60)</f>
        <v>36.6</v>
      </c>
      <c r="F48" s="3">
        <f t="shared" ref="F48" si="73">IF(K47&gt;$C$3+$C$4,"",60*$B$14)</f>
        <v>54</v>
      </c>
      <c r="H48" s="13"/>
      <c r="I48" s="13"/>
      <c r="J48" s="13"/>
      <c r="K48" s="3">
        <f>IF(K47&lt;($B$3+$B$4)*60,K47+Tableau14691215[[#This Row],[duree_standard]],K47)</f>
        <v>2196</v>
      </c>
      <c r="L48" s="3">
        <f t="shared" ref="L48:L79" si="74">IF(K47&gt;$C$3+$C$4,"",$B$7)</f>
        <v>5</v>
      </c>
      <c r="M48" s="3">
        <f t="shared" ref="M48:M79" si="75">IF(K47&gt;$C$3+$C$4,"",$B$10)</f>
        <v>26</v>
      </c>
    </row>
    <row r="49" spans="2:13" x14ac:dyDescent="0.25">
      <c r="B49" s="15"/>
      <c r="C49" s="3">
        <v>21</v>
      </c>
      <c r="D49" s="3" t="s">
        <v>27</v>
      </c>
      <c r="E49" s="3">
        <f>IF(K48&gt;$C$3+$C$4,"",Tableau14691215[[#This Row],[cumul_temps]]/60)</f>
        <v>39.799999999999997</v>
      </c>
      <c r="F49" s="3">
        <f t="shared" ref="F49" si="76">IF(K48&gt;$C$3+$C$4,"",60*$B$13)</f>
        <v>96</v>
      </c>
      <c r="G49" s="3">
        <f t="shared" ref="G49" si="77">IF(K48&gt;$C$3+$C$4,"",G47+1)</f>
        <v>11</v>
      </c>
      <c r="H49" s="13">
        <f t="shared" ref="H49" si="78">IF(K48&gt;$C$3+$C$4,"",(K48-$G$26)/$C$4)</f>
        <v>0.6333333333333333</v>
      </c>
      <c r="I49" s="13">
        <f>IF(K48&gt;$C$3+$C$4,"",ROUND(IF(Tableau14691215[[#This Row],[Temps_Ref]]&gt;0,($F$13*Tableau14691215[[#This Row],[Temps_Ref]]^4+$G$13*Tableau14691215[[#This Row],[Temps_Ref]]^3+$H$13*Tableau14691215[[#This Row],[Temps_Ref]]^2+$I$13)/$J$13,0),1))</f>
        <v>2</v>
      </c>
      <c r="J49" s="3">
        <f>IF(K48&gt;$C$3+$C$4,"",Tableau14691215[[#This Row],[duree_standard]]*Tableau14691215[[#This Row],[Correction_DuréeEffortIntense]])</f>
        <v>192</v>
      </c>
      <c r="K49" s="3">
        <f>IF(K48&lt;($B$3+$B$4)*60,K48+Tableau14691215[[#This Row],[Durée_Corrigée]],K48)</f>
        <v>2388</v>
      </c>
      <c r="L49" s="3">
        <f t="shared" ref="L49:L96" si="79">IF(K48&gt;$C$3+$C$4,"",$B$8)</f>
        <v>10</v>
      </c>
      <c r="M49" s="3">
        <f t="shared" ref="M49:M96" si="80">IF(K48&gt;$C$3+$C$4,"",$B$11)</f>
        <v>34</v>
      </c>
    </row>
    <row r="50" spans="2:13" x14ac:dyDescent="0.25">
      <c r="B50" s="15"/>
      <c r="C50" s="3">
        <v>22</v>
      </c>
      <c r="D50" s="3" t="s">
        <v>7</v>
      </c>
      <c r="E50" s="3">
        <f>IF(K49&gt;$C$3+$C$4,"",Tableau14691215[[#This Row],[cumul_temps]]/60)</f>
        <v>40.700000000000003</v>
      </c>
      <c r="F50" s="3">
        <f t="shared" ref="F50" si="81">IF(K49&gt;$C$3+$C$4,"",60*$B$14)</f>
        <v>54</v>
      </c>
      <c r="H50" s="13"/>
      <c r="I50" s="13"/>
      <c r="J50" s="13"/>
      <c r="K50" s="3">
        <f>IF(K49&lt;($B$3+$B$4)*60,K49+Tableau14691215[[#This Row],[duree_standard]],K49)</f>
        <v>2442</v>
      </c>
      <c r="L50" s="3">
        <f t="shared" ref="L50:L96" si="82">IF(K49&gt;$C$3+$C$4,"",$B$7)</f>
        <v>5</v>
      </c>
      <c r="M50" s="3">
        <f t="shared" ref="M50:M96" si="83">IF(K49&gt;$C$3+$C$4,"",$B$10)</f>
        <v>26</v>
      </c>
    </row>
    <row r="51" spans="2:13" x14ac:dyDescent="0.25">
      <c r="B51" s="15"/>
      <c r="C51" s="3">
        <v>23</v>
      </c>
      <c r="D51" s="3" t="s">
        <v>27</v>
      </c>
      <c r="E51" s="3">
        <f>IF(K50&gt;$C$3+$C$4,"",Tableau14691215[[#This Row],[cumul_temps]]/60)</f>
        <v>43.74</v>
      </c>
      <c r="F51" s="3">
        <f t="shared" ref="F51" si="84">IF(K50&gt;$C$3+$C$4,"",60*$B$13)</f>
        <v>96</v>
      </c>
      <c r="G51" s="3">
        <f t="shared" ref="G51" si="85">IF(K50&gt;$C$3+$C$4,"",G49+1)</f>
        <v>12</v>
      </c>
      <c r="H51" s="13">
        <f t="shared" ref="H51" si="86">IF(K50&gt;$C$3+$C$4,"",(K50-$G$26)/$C$4)</f>
        <v>0.73095238095238091</v>
      </c>
      <c r="I51" s="13">
        <f>IF(K50&gt;$C$3+$C$4,"",ROUND(IF(Tableau14691215[[#This Row],[Temps_Ref]]&gt;0,($F$13*Tableau14691215[[#This Row],[Temps_Ref]]^4+$G$13*Tableau14691215[[#This Row],[Temps_Ref]]^3+$H$13*Tableau14691215[[#This Row],[Temps_Ref]]^2+$I$13)/$J$13,0),1))</f>
        <v>1.9</v>
      </c>
      <c r="J51" s="3">
        <f>IF(K50&gt;$C$3+$C$4,"",Tableau14691215[[#This Row],[duree_standard]]*Tableau14691215[[#This Row],[Correction_DuréeEffortIntense]])</f>
        <v>182.39999999999998</v>
      </c>
      <c r="K51" s="3">
        <f>IF(K50&lt;($B$3+$B$4)*60,K50+Tableau14691215[[#This Row],[Durée_Corrigée]],K50)</f>
        <v>2624.4</v>
      </c>
      <c r="L51" s="3">
        <f t="shared" ref="L51:L96" si="87">IF(K50&gt;$C$3+$C$4,"",$B$8)</f>
        <v>10</v>
      </c>
      <c r="M51" s="3">
        <f t="shared" ref="M51:M96" si="88">IF(K50&gt;$C$3+$C$4,"",$B$11)</f>
        <v>34</v>
      </c>
    </row>
    <row r="52" spans="2:13" x14ac:dyDescent="0.25">
      <c r="B52" s="15"/>
      <c r="C52" s="3">
        <v>24</v>
      </c>
      <c r="D52" s="3" t="s">
        <v>7</v>
      </c>
      <c r="E52" s="3">
        <f>IF(K51&gt;$C$3+$C$4,"",Tableau14691215[[#This Row],[cumul_temps]]/60)</f>
        <v>44.64</v>
      </c>
      <c r="F52" s="3">
        <f t="shared" ref="F52" si="89">IF(K51&gt;$C$3+$C$4,"",60*$B$14)</f>
        <v>54</v>
      </c>
      <c r="H52" s="13"/>
      <c r="I52" s="13"/>
      <c r="J52" s="13"/>
      <c r="K52" s="3">
        <f>IF(K51&lt;($B$3+$B$4)*60,K51+Tableau14691215[[#This Row],[duree_standard]],K51)</f>
        <v>2678.4</v>
      </c>
      <c r="L52" s="3">
        <f t="shared" ref="L52:L96" si="90">IF(K51&gt;$C$3+$C$4,"",$B$7)</f>
        <v>5</v>
      </c>
      <c r="M52" s="3">
        <f t="shared" ref="M52:M96" si="91">IF(K51&gt;$C$3+$C$4,"",$B$10)</f>
        <v>26</v>
      </c>
    </row>
    <row r="53" spans="2:13" x14ac:dyDescent="0.25">
      <c r="B53" s="15"/>
      <c r="C53" s="3">
        <v>25</v>
      </c>
      <c r="D53" s="3" t="s">
        <v>27</v>
      </c>
      <c r="E53" s="3">
        <f>IF(K52&gt;$C$3+$C$4,"",Tableau14691215[[#This Row],[cumul_temps]]/60)</f>
        <v>47.2</v>
      </c>
      <c r="F53" s="3">
        <f t="shared" ref="F53" si="92">IF(K52&gt;$C$3+$C$4,"",60*$B$13)</f>
        <v>96</v>
      </c>
      <c r="G53" s="3">
        <f t="shared" ref="G53" si="93">IF(K52&gt;$C$3+$C$4,"",G51+1)</f>
        <v>13</v>
      </c>
      <c r="H53" s="13">
        <f t="shared" ref="H53" si="94">IF(K52&gt;$C$3+$C$4,"",(K52-$G$26)/$C$4)</f>
        <v>0.82476190476190481</v>
      </c>
      <c r="I53" s="13">
        <f>IF(K52&gt;$C$3+$C$4,"",ROUND(IF(Tableau14691215[[#This Row],[Temps_Ref]]&gt;0,($F$13*Tableau14691215[[#This Row],[Temps_Ref]]^4+$G$13*Tableau14691215[[#This Row],[Temps_Ref]]^3+$H$13*Tableau14691215[[#This Row],[Temps_Ref]]^2+$I$13)/$J$13,0),1))</f>
        <v>1.6</v>
      </c>
      <c r="J53" s="3">
        <f>IF(K52&gt;$C$3+$C$4,"",Tableau14691215[[#This Row],[duree_standard]]*Tableau14691215[[#This Row],[Correction_DuréeEffortIntense]])</f>
        <v>153.60000000000002</v>
      </c>
      <c r="K53" s="3">
        <f>IF(K52&lt;($B$3+$B$4)*60,K52+Tableau14691215[[#This Row],[Durée_Corrigée]],K52)</f>
        <v>2832</v>
      </c>
      <c r="L53" s="3">
        <f t="shared" ref="L53:L96" si="95">IF(K52&gt;$C$3+$C$4,"",$B$8)</f>
        <v>10</v>
      </c>
      <c r="M53" s="3">
        <f t="shared" ref="M53:M96" si="96">IF(K52&gt;$C$3+$C$4,"",$B$11)</f>
        <v>34</v>
      </c>
    </row>
    <row r="54" spans="2:13" x14ac:dyDescent="0.25">
      <c r="B54" s="15"/>
      <c r="C54" s="3">
        <v>26</v>
      </c>
      <c r="D54" s="3" t="s">
        <v>7</v>
      </c>
      <c r="E54" s="3">
        <f>IF(K53&gt;$C$3+$C$4,"",Tableau14691215[[#This Row],[cumul_temps]]/60)</f>
        <v>48.1</v>
      </c>
      <c r="F54" s="3">
        <f t="shared" ref="F54" si="97">IF(K53&gt;$C$3+$C$4,"",60*$B$14)</f>
        <v>54</v>
      </c>
      <c r="H54" s="13"/>
      <c r="I54" s="13"/>
      <c r="J54" s="13"/>
      <c r="K54" s="3">
        <f>IF(K53&lt;($B$3+$B$4)*60,K53+Tableau14691215[[#This Row],[duree_standard]],K53)</f>
        <v>2886</v>
      </c>
      <c r="L54" s="3">
        <f t="shared" ref="L54:L96" si="98">IF(K53&gt;$C$3+$C$4,"",$B$7)</f>
        <v>5</v>
      </c>
      <c r="M54" s="3">
        <f t="shared" ref="M54:M96" si="99">IF(K53&gt;$C$3+$C$4,"",$B$10)</f>
        <v>26</v>
      </c>
    </row>
    <row r="55" spans="2:13" x14ac:dyDescent="0.25">
      <c r="B55" s="15"/>
      <c r="C55" s="3">
        <v>27</v>
      </c>
      <c r="D55" s="3" t="s">
        <v>27</v>
      </c>
      <c r="E55" s="3">
        <f>IF(K54&gt;$C$3+$C$4,"",Tableau14691215[[#This Row],[cumul_temps]]/60)</f>
        <v>50.18</v>
      </c>
      <c r="F55" s="3">
        <f t="shared" ref="F55" si="100">IF(K54&gt;$C$3+$C$4,"",60*$B$13)</f>
        <v>96</v>
      </c>
      <c r="G55" s="3">
        <f t="shared" ref="G55" si="101">IF(K54&gt;$C$3+$C$4,"",G53+1)</f>
        <v>14</v>
      </c>
      <c r="H55" s="13">
        <f t="shared" ref="H55" si="102">IF(K54&gt;$C$3+$C$4,"",(K54-$G$26)/$C$4)</f>
        <v>0.90714285714285714</v>
      </c>
      <c r="I55" s="13">
        <f>IF(K54&gt;$C$3+$C$4,"",ROUND(IF(Tableau14691215[[#This Row],[Temps_Ref]]&gt;0,($F$13*Tableau14691215[[#This Row],[Temps_Ref]]^4+$G$13*Tableau14691215[[#This Row],[Temps_Ref]]^3+$H$13*Tableau14691215[[#This Row],[Temps_Ref]]^2+$I$13)/$J$13,0),1))</f>
        <v>1.3</v>
      </c>
      <c r="J55" s="3">
        <f>IF(K54&gt;$C$3+$C$4,"",Tableau14691215[[#This Row],[duree_standard]]*Tableau14691215[[#This Row],[Correction_DuréeEffortIntense]])</f>
        <v>124.80000000000001</v>
      </c>
      <c r="K55" s="3">
        <f>IF(K54&lt;($B$3+$B$4)*60,K54+Tableau14691215[[#This Row],[Durée_Corrigée]],K54)</f>
        <v>3010.8</v>
      </c>
      <c r="L55" s="3">
        <f t="shared" ref="L55:L96" si="103">IF(K54&gt;$C$3+$C$4,"",$B$8)</f>
        <v>10</v>
      </c>
      <c r="M55" s="3">
        <f t="shared" ref="M55:M96" si="104">IF(K54&gt;$C$3+$C$4,"",$B$11)</f>
        <v>34</v>
      </c>
    </row>
    <row r="56" spans="2:13" x14ac:dyDescent="0.25">
      <c r="B56" s="15"/>
      <c r="C56" s="3">
        <v>28</v>
      </c>
      <c r="D56" s="3" t="s">
        <v>7</v>
      </c>
      <c r="E56" s="3">
        <f>IF(K55&gt;$C$3+$C$4,"",Tableau14691215[[#This Row],[cumul_temps]]/60)</f>
        <v>51.080000000000005</v>
      </c>
      <c r="F56" s="3">
        <f t="shared" ref="F56" si="105">IF(K55&gt;$C$3+$C$4,"",60*$B$14)</f>
        <v>54</v>
      </c>
      <c r="H56" s="13"/>
      <c r="I56" s="13"/>
      <c r="J56" s="13"/>
      <c r="K56" s="3">
        <f>IF(K55&lt;($B$3+$B$4)*60,K55+Tableau14691215[[#This Row],[duree_standard]],K55)</f>
        <v>3064.8</v>
      </c>
      <c r="L56" s="3">
        <f t="shared" ref="L56:L96" si="106">IF(K55&gt;$C$3+$C$4,"",$B$7)</f>
        <v>5</v>
      </c>
      <c r="M56" s="3">
        <f t="shared" ref="M56:M96" si="107">IF(K55&gt;$C$3+$C$4,"",$B$10)</f>
        <v>26</v>
      </c>
    </row>
    <row r="57" spans="2:13" x14ac:dyDescent="0.25">
      <c r="B57" s="15"/>
      <c r="C57" s="3">
        <v>29</v>
      </c>
      <c r="D57" s="3" t="s">
        <v>27</v>
      </c>
      <c r="E57" s="3">
        <f>IF(K56&gt;$C$3+$C$4,"",Tableau14691215[[#This Row],[cumul_temps]]/60)</f>
        <v>52.84</v>
      </c>
      <c r="F57" s="3">
        <f t="shared" ref="F57" si="108">IF(K56&gt;$C$3+$C$4,"",60*$B$13)</f>
        <v>96</v>
      </c>
      <c r="G57" s="3">
        <f t="shared" ref="G57" si="109">IF(K56&gt;$C$3+$C$4,"",G55+1)</f>
        <v>15</v>
      </c>
      <c r="H57" s="13">
        <f t="shared" ref="H57" si="110">IF(K56&gt;$C$3+$C$4,"",(K56-$G$26)/$C$4)</f>
        <v>0.97809523809523813</v>
      </c>
      <c r="I57" s="13">
        <f>IF(K56&gt;$C$3+$C$4,"",ROUND(IF(Tableau14691215[[#This Row],[Temps_Ref]]&gt;0,($F$13*Tableau14691215[[#This Row],[Temps_Ref]]^4+$G$13*Tableau14691215[[#This Row],[Temps_Ref]]^3+$H$13*Tableau14691215[[#This Row],[Temps_Ref]]^2+$I$13)/$J$13,0),1))</f>
        <v>1.1000000000000001</v>
      </c>
      <c r="J57" s="3">
        <f>IF(K56&gt;$C$3+$C$4,"",Tableau14691215[[#This Row],[duree_standard]]*Tableau14691215[[#This Row],[Correction_DuréeEffortIntense]])</f>
        <v>105.60000000000001</v>
      </c>
      <c r="K57" s="3">
        <f>IF(K56&lt;($B$3+$B$4)*60,K56+Tableau14691215[[#This Row],[Durée_Corrigée]],K56)</f>
        <v>3170.4</v>
      </c>
      <c r="L57" s="3">
        <f t="shared" ref="L57:L96" si="111">IF(K56&gt;$C$3+$C$4,"",$B$8)</f>
        <v>10</v>
      </c>
      <c r="M57" s="3">
        <f t="shared" ref="M57:M96" si="112">IF(K56&gt;$C$3+$C$4,"",$B$11)</f>
        <v>34</v>
      </c>
    </row>
    <row r="58" spans="2:13" x14ac:dyDescent="0.25">
      <c r="B58" s="15"/>
      <c r="C58" s="3">
        <v>30</v>
      </c>
      <c r="D58" s="3" t="s">
        <v>7</v>
      </c>
      <c r="E58" s="3" t="str">
        <f>IF(K57&gt;$C$3+$C$4,"",Tableau14691215[[#This Row],[cumul_temps]]/60)</f>
        <v/>
      </c>
      <c r="F58" s="3" t="str">
        <f t="shared" ref="F58" si="113">IF(K57&gt;$C$3+$C$4,"",60*$B$14)</f>
        <v/>
      </c>
      <c r="H58" s="13"/>
      <c r="I58" s="13"/>
      <c r="J58" s="13"/>
      <c r="K58" s="3">
        <f>IF(K57&lt;($B$3+$B$4)*60,K57+Tableau14691215[[#This Row],[duree_standard]],K57)</f>
        <v>3170.4</v>
      </c>
      <c r="L58" s="3" t="str">
        <f t="shared" ref="L58:L96" si="114">IF(K57&gt;$C$3+$C$4,"",$B$7)</f>
        <v/>
      </c>
      <c r="M58" s="3" t="str">
        <f t="shared" ref="M58:M96" si="115">IF(K57&gt;$C$3+$C$4,"",$B$10)</f>
        <v/>
      </c>
    </row>
    <row r="59" spans="2:13" x14ac:dyDescent="0.25">
      <c r="B59" s="15"/>
      <c r="C59" s="3">
        <v>31</v>
      </c>
      <c r="D59" s="3" t="s">
        <v>27</v>
      </c>
      <c r="E59" s="3" t="str">
        <f>IF(K58&gt;$C$3+$C$4,"",Tableau14691215[[#This Row],[cumul_temps]]/60)</f>
        <v/>
      </c>
      <c r="F59" s="3" t="str">
        <f t="shared" ref="F59" si="116">IF(K58&gt;$C$3+$C$4,"",60*$B$13)</f>
        <v/>
      </c>
      <c r="G59" s="3" t="str">
        <f t="shared" ref="G59" si="117">IF(K58&gt;$C$3+$C$4,"",G57+1)</f>
        <v/>
      </c>
      <c r="H59" s="13" t="str">
        <f t="shared" ref="H59" si="118">IF(K58&gt;$C$3+$C$4,"",(K58-$G$26)/$C$4)</f>
        <v/>
      </c>
      <c r="I59" s="13" t="str">
        <f>IF(K58&gt;$C$3+$C$4,"",ROUND(IF(Tableau14691215[[#This Row],[Temps_Ref]]&gt;0,($F$13*Tableau14691215[[#This Row],[Temps_Ref]]^4+$G$13*Tableau14691215[[#This Row],[Temps_Ref]]^3+$H$13*Tableau14691215[[#This Row],[Temps_Ref]]^2+$I$13)/$J$13,0),1))</f>
        <v/>
      </c>
      <c r="J59" s="3" t="str">
        <f>IF(K58&gt;$C$3+$C$4,"",Tableau14691215[[#This Row],[duree_standard]]*Tableau14691215[[#This Row],[Correction_DuréeEffortIntense]])</f>
        <v/>
      </c>
      <c r="K59" s="3">
        <f>IF(K58&lt;($B$3+$B$4)*60,K58+Tableau14691215[[#This Row],[Durée_Corrigée]],K58)</f>
        <v>3170.4</v>
      </c>
      <c r="L59" s="3" t="str">
        <f t="shared" ref="L59:L96" si="119">IF(K58&gt;$C$3+$C$4,"",$B$8)</f>
        <v/>
      </c>
      <c r="M59" s="3" t="str">
        <f t="shared" ref="M59:M96" si="120">IF(K58&gt;$C$3+$C$4,"",$B$11)</f>
        <v/>
      </c>
    </row>
    <row r="60" spans="2:13" x14ac:dyDescent="0.25">
      <c r="B60" s="15"/>
      <c r="C60" s="3">
        <v>32</v>
      </c>
      <c r="D60" s="3" t="s">
        <v>7</v>
      </c>
      <c r="E60" s="3" t="str">
        <f>IF(K59&gt;$C$3+$C$4,"",Tableau14691215[[#This Row],[cumul_temps]]/60)</f>
        <v/>
      </c>
      <c r="F60" s="3" t="str">
        <f t="shared" ref="F60" si="121">IF(K59&gt;$C$3+$C$4,"",60*$B$14)</f>
        <v/>
      </c>
      <c r="H60" s="13"/>
      <c r="I60" s="13"/>
      <c r="J60" s="13"/>
      <c r="K60" s="3">
        <f>IF(K59&lt;($B$3+$B$4)*60,K59+Tableau14691215[[#This Row],[duree_standard]],K59)</f>
        <v>3170.4</v>
      </c>
      <c r="L60" s="3" t="str">
        <f t="shared" ref="L60:L96" si="122">IF(K59&gt;$C$3+$C$4,"",$B$7)</f>
        <v/>
      </c>
      <c r="M60" s="3" t="str">
        <f t="shared" ref="M60:M96" si="123">IF(K59&gt;$C$3+$C$4,"",$B$10)</f>
        <v/>
      </c>
    </row>
    <row r="61" spans="2:13" x14ac:dyDescent="0.25">
      <c r="B61" s="15"/>
      <c r="C61" s="3">
        <v>33</v>
      </c>
      <c r="D61" s="3" t="s">
        <v>27</v>
      </c>
      <c r="E61" s="3" t="str">
        <f>IF(K60&gt;$C$3+$C$4,"",Tableau14691215[[#This Row],[cumul_temps]]/60)</f>
        <v/>
      </c>
      <c r="F61" s="3" t="str">
        <f t="shared" ref="F61" si="124">IF(K60&gt;$C$3+$C$4,"",60*$B$13)</f>
        <v/>
      </c>
      <c r="G61" s="3" t="str">
        <f t="shared" ref="G61" si="125">IF(K60&gt;$C$3+$C$4,"",G59+1)</f>
        <v/>
      </c>
      <c r="H61" s="13" t="str">
        <f t="shared" ref="H61" si="126">IF(K60&gt;$C$3+$C$4,"",(K60-$G$26)/$C$4)</f>
        <v/>
      </c>
      <c r="I61" s="13" t="str">
        <f>IF(K60&gt;$C$3+$C$4,"",ROUND(IF(Tableau14691215[[#This Row],[Temps_Ref]]&gt;0,($F$13*Tableau14691215[[#This Row],[Temps_Ref]]^4+$G$13*Tableau14691215[[#This Row],[Temps_Ref]]^3+$H$13*Tableau14691215[[#This Row],[Temps_Ref]]^2+$I$13)/$J$13,0),1))</f>
        <v/>
      </c>
      <c r="J61" s="3" t="str">
        <f>IF(K60&gt;$C$3+$C$4,"",Tableau14691215[[#This Row],[duree_standard]]*Tableau14691215[[#This Row],[Correction_DuréeEffortIntense]])</f>
        <v/>
      </c>
      <c r="K61" s="3">
        <f>IF(K60&lt;($B$3+$B$4)*60,K60+Tableau14691215[[#This Row],[Durée_Corrigée]],K60)</f>
        <v>3170.4</v>
      </c>
      <c r="L61" s="3" t="str">
        <f t="shared" ref="L61:L96" si="127">IF(K60&gt;$C$3+$C$4,"",$B$8)</f>
        <v/>
      </c>
      <c r="M61" s="3" t="str">
        <f t="shared" ref="M61:M96" si="128">IF(K60&gt;$C$3+$C$4,"",$B$11)</f>
        <v/>
      </c>
    </row>
    <row r="62" spans="2:13" x14ac:dyDescent="0.25">
      <c r="B62" s="15"/>
      <c r="C62" s="3">
        <v>34</v>
      </c>
      <c r="D62" s="3" t="s">
        <v>7</v>
      </c>
      <c r="E62" s="3" t="str">
        <f>IF(K61&gt;$C$3+$C$4,"",Tableau14691215[[#This Row],[cumul_temps]]/60)</f>
        <v/>
      </c>
      <c r="F62" s="3" t="str">
        <f t="shared" ref="F62" si="129">IF(K61&gt;$C$3+$C$4,"",60*$B$14)</f>
        <v/>
      </c>
      <c r="H62" s="13"/>
      <c r="I62" s="13"/>
      <c r="J62" s="13"/>
      <c r="K62" s="3">
        <f>IF(K61&lt;($B$3+$B$4)*60,K61+Tableau14691215[[#This Row],[duree_standard]],K61)</f>
        <v>3170.4</v>
      </c>
      <c r="L62" s="3" t="str">
        <f t="shared" ref="L62:L96" si="130">IF(K61&gt;$C$3+$C$4,"",$B$7)</f>
        <v/>
      </c>
      <c r="M62" s="3" t="str">
        <f t="shared" ref="M62:M96" si="131">IF(K61&gt;$C$3+$C$4,"",$B$10)</f>
        <v/>
      </c>
    </row>
    <row r="63" spans="2:13" x14ac:dyDescent="0.25">
      <c r="B63" s="15"/>
      <c r="C63" s="3">
        <v>35</v>
      </c>
      <c r="D63" s="3" t="s">
        <v>27</v>
      </c>
      <c r="E63" s="3" t="str">
        <f>IF(K62&gt;$C$3+$C$4,"",Tableau14691215[[#This Row],[cumul_temps]]/60)</f>
        <v/>
      </c>
      <c r="F63" s="3" t="str">
        <f t="shared" ref="F63" si="132">IF(K62&gt;$C$3+$C$4,"",60*$B$13)</f>
        <v/>
      </c>
      <c r="G63" s="3" t="str">
        <f t="shared" ref="G63" si="133">IF(K62&gt;$C$3+$C$4,"",G61+1)</f>
        <v/>
      </c>
      <c r="H63" s="13" t="str">
        <f t="shared" ref="H63" si="134">IF(K62&gt;$C$3+$C$4,"",(K62-$G$26)/$C$4)</f>
        <v/>
      </c>
      <c r="I63" s="13" t="str">
        <f>IF(K62&gt;$C$3+$C$4,"",ROUND(IF(Tableau14691215[[#This Row],[Temps_Ref]]&gt;0,($F$13*Tableau14691215[[#This Row],[Temps_Ref]]^4+$G$13*Tableau14691215[[#This Row],[Temps_Ref]]^3+$H$13*Tableau14691215[[#This Row],[Temps_Ref]]^2+$I$13)/$J$13,0),1))</f>
        <v/>
      </c>
      <c r="J63" s="3" t="str">
        <f>IF(K62&gt;$C$3+$C$4,"",Tableau14691215[[#This Row],[duree_standard]]*Tableau14691215[[#This Row],[Correction_DuréeEffortIntense]])</f>
        <v/>
      </c>
      <c r="K63" s="3">
        <f>IF(K62&lt;($B$3+$B$4)*60,K62+Tableau14691215[[#This Row],[Durée_Corrigée]],K62)</f>
        <v>3170.4</v>
      </c>
      <c r="L63" s="3" t="str">
        <f t="shared" ref="L63:L96" si="135">IF(K62&gt;$C$3+$C$4,"",$B$8)</f>
        <v/>
      </c>
      <c r="M63" s="3" t="str">
        <f t="shared" ref="M63:M96" si="136">IF(K62&gt;$C$3+$C$4,"",$B$11)</f>
        <v/>
      </c>
    </row>
    <row r="64" spans="2:13" x14ac:dyDescent="0.25">
      <c r="B64" s="15"/>
      <c r="C64" s="3">
        <v>36</v>
      </c>
      <c r="D64" s="3" t="s">
        <v>7</v>
      </c>
      <c r="E64" s="3" t="str">
        <f>IF(K63&gt;$C$3+$C$4,"",Tableau14691215[[#This Row],[cumul_temps]]/60)</f>
        <v/>
      </c>
      <c r="F64" s="3" t="str">
        <f t="shared" ref="F64" si="137">IF(K63&gt;$C$3+$C$4,"",60*$B$14)</f>
        <v/>
      </c>
      <c r="H64" s="13"/>
      <c r="I64" s="13"/>
      <c r="J64" s="13"/>
      <c r="K64" s="3">
        <f>IF(K63&lt;($B$3+$B$4)*60,K63+Tableau14691215[[#This Row],[duree_standard]],K63)</f>
        <v>3170.4</v>
      </c>
      <c r="L64" s="3" t="str">
        <f t="shared" ref="L64:L96" si="138">IF(K63&gt;$C$3+$C$4,"",$B$7)</f>
        <v/>
      </c>
      <c r="M64" s="3" t="str">
        <f t="shared" ref="M64:M96" si="139">IF(K63&gt;$C$3+$C$4,"",$B$10)</f>
        <v/>
      </c>
    </row>
    <row r="65" spans="2:13" x14ac:dyDescent="0.25">
      <c r="B65" s="15"/>
      <c r="C65" s="3">
        <v>37</v>
      </c>
      <c r="D65" s="3" t="s">
        <v>27</v>
      </c>
      <c r="E65" s="3" t="str">
        <f>IF(K64&gt;$C$3+$C$4,"",Tableau14691215[[#This Row],[cumul_temps]]/60)</f>
        <v/>
      </c>
      <c r="F65" s="3" t="str">
        <f t="shared" ref="F65" si="140">IF(K64&gt;$C$3+$C$4,"",60*$B$13)</f>
        <v/>
      </c>
      <c r="G65" s="3" t="str">
        <f t="shared" ref="G65" si="141">IF(K64&gt;$C$3+$C$4,"",G63+1)</f>
        <v/>
      </c>
      <c r="H65" s="13" t="str">
        <f t="shared" ref="H65" si="142">IF(K64&gt;$C$3+$C$4,"",(K64-$G$26)/$C$4)</f>
        <v/>
      </c>
      <c r="I65" s="13" t="str">
        <f>IF(K64&gt;$C$3+$C$4,"",ROUND(IF(Tableau14691215[[#This Row],[Temps_Ref]]&gt;0,($F$13*Tableau14691215[[#This Row],[Temps_Ref]]^4+$G$13*Tableau14691215[[#This Row],[Temps_Ref]]^3+$H$13*Tableau14691215[[#This Row],[Temps_Ref]]^2+$I$13)/$J$13,0),1))</f>
        <v/>
      </c>
      <c r="J65" s="3" t="str">
        <f>IF(K64&gt;$C$3+$C$4,"",Tableau14691215[[#This Row],[duree_standard]]*Tableau14691215[[#This Row],[Correction_DuréeEffortIntense]])</f>
        <v/>
      </c>
      <c r="K65" s="3">
        <f>IF(K64&lt;($B$3+$B$4)*60,K64+Tableau14691215[[#This Row],[Durée_Corrigée]],K64)</f>
        <v>3170.4</v>
      </c>
      <c r="L65" s="3" t="str">
        <f t="shared" ref="L65:L96" si="143">IF(K64&gt;$C$3+$C$4,"",$B$8)</f>
        <v/>
      </c>
      <c r="M65" s="3" t="str">
        <f t="shared" ref="M65:M96" si="144">IF(K64&gt;$C$3+$C$4,"",$B$11)</f>
        <v/>
      </c>
    </row>
    <row r="66" spans="2:13" x14ac:dyDescent="0.25">
      <c r="B66" s="15"/>
      <c r="C66" s="3">
        <v>38</v>
      </c>
      <c r="D66" s="3" t="s">
        <v>7</v>
      </c>
      <c r="E66" s="3" t="str">
        <f>IF(K65&gt;$C$3+$C$4,"",Tableau14691215[[#This Row],[cumul_temps]]/60)</f>
        <v/>
      </c>
      <c r="F66" s="3" t="str">
        <f t="shared" ref="F66" si="145">IF(K65&gt;$C$3+$C$4,"",60*$B$14)</f>
        <v/>
      </c>
      <c r="H66" s="13"/>
      <c r="I66" s="13"/>
      <c r="J66" s="13"/>
      <c r="K66" s="3">
        <f>IF(K65&lt;($B$3+$B$4)*60,K65+Tableau14691215[[#This Row],[duree_standard]],K65)</f>
        <v>3170.4</v>
      </c>
      <c r="L66" s="3" t="str">
        <f t="shared" ref="L66:L96" si="146">IF(K65&gt;$C$3+$C$4,"",$B$7)</f>
        <v/>
      </c>
      <c r="M66" s="3" t="str">
        <f t="shared" ref="M66:M96" si="147">IF(K65&gt;$C$3+$C$4,"",$B$10)</f>
        <v/>
      </c>
    </row>
    <row r="67" spans="2:13" x14ac:dyDescent="0.25">
      <c r="B67" s="15"/>
      <c r="C67" s="3">
        <v>39</v>
      </c>
      <c r="D67" s="3" t="s">
        <v>27</v>
      </c>
      <c r="E67" s="3" t="str">
        <f>IF(K66&gt;$C$3+$C$4,"",Tableau14691215[[#This Row],[cumul_temps]]/60)</f>
        <v/>
      </c>
      <c r="F67" s="3" t="str">
        <f t="shared" ref="F67" si="148">IF(K66&gt;$C$3+$C$4,"",60*$B$13)</f>
        <v/>
      </c>
      <c r="G67" s="3" t="str">
        <f t="shared" ref="G67" si="149">IF(K66&gt;$C$3+$C$4,"",G65+1)</f>
        <v/>
      </c>
      <c r="H67" s="13" t="str">
        <f t="shared" ref="H67" si="150">IF(K66&gt;$C$3+$C$4,"",(K66-$G$26)/$C$4)</f>
        <v/>
      </c>
      <c r="I67" s="13" t="str">
        <f>IF(K66&gt;$C$3+$C$4,"",ROUND(IF(Tableau14691215[[#This Row],[Temps_Ref]]&gt;0,($F$13*Tableau14691215[[#This Row],[Temps_Ref]]^4+$G$13*Tableau14691215[[#This Row],[Temps_Ref]]^3+$H$13*Tableau14691215[[#This Row],[Temps_Ref]]^2+$I$13)/$J$13,0),1))</f>
        <v/>
      </c>
      <c r="J67" s="3" t="str">
        <f>IF(K66&gt;$C$3+$C$4,"",Tableau14691215[[#This Row],[duree_standard]]*Tableau14691215[[#This Row],[Correction_DuréeEffortIntense]])</f>
        <v/>
      </c>
      <c r="K67" s="3">
        <f>IF(K66&lt;($B$3+$B$4)*60,K66+Tableau14691215[[#This Row],[Durée_Corrigée]],K66)</f>
        <v>3170.4</v>
      </c>
      <c r="L67" s="3" t="str">
        <f t="shared" ref="L67:L96" si="151">IF(K66&gt;$C$3+$C$4,"",$B$8)</f>
        <v/>
      </c>
      <c r="M67" s="3" t="str">
        <f t="shared" ref="M67:M96" si="152">IF(K66&gt;$C$3+$C$4,"",$B$11)</f>
        <v/>
      </c>
    </row>
    <row r="68" spans="2:13" x14ac:dyDescent="0.25">
      <c r="B68" s="15"/>
      <c r="C68" s="3">
        <v>40</v>
      </c>
      <c r="D68" s="3" t="s">
        <v>7</v>
      </c>
      <c r="E68" s="3" t="str">
        <f>IF(K67&gt;$C$3+$C$4,"",Tableau14691215[[#This Row],[cumul_temps]]/60)</f>
        <v/>
      </c>
      <c r="F68" s="3" t="str">
        <f t="shared" ref="F68" si="153">IF(K67&gt;$C$3+$C$4,"",60*$B$14)</f>
        <v/>
      </c>
      <c r="H68" s="13"/>
      <c r="I68" s="13"/>
      <c r="J68" s="13"/>
      <c r="K68" s="3">
        <f>IF(K67&lt;($B$3+$B$4)*60,K67+Tableau14691215[[#This Row],[duree_standard]],K67)</f>
        <v>3170.4</v>
      </c>
      <c r="L68" s="3" t="str">
        <f t="shared" ref="L68:L96" si="154">IF(K67&gt;$C$3+$C$4,"",$B$7)</f>
        <v/>
      </c>
      <c r="M68" s="3" t="str">
        <f t="shared" ref="M68:M96" si="155">IF(K67&gt;$C$3+$C$4,"",$B$10)</f>
        <v/>
      </c>
    </row>
    <row r="69" spans="2:13" x14ac:dyDescent="0.25">
      <c r="B69" s="15"/>
      <c r="C69" s="3">
        <v>41</v>
      </c>
      <c r="D69" s="3" t="s">
        <v>27</v>
      </c>
      <c r="E69" s="3" t="str">
        <f>IF(K68&gt;$C$3+$C$4,"",Tableau14691215[[#This Row],[cumul_temps]]/60)</f>
        <v/>
      </c>
      <c r="F69" s="3" t="str">
        <f t="shared" ref="F69" si="156">IF(K68&gt;$C$3+$C$4,"",60*$B$13)</f>
        <v/>
      </c>
      <c r="G69" s="3" t="str">
        <f t="shared" ref="G69" si="157">IF(K68&gt;$C$3+$C$4,"",G67+1)</f>
        <v/>
      </c>
      <c r="H69" s="13" t="str">
        <f t="shared" ref="H69" si="158">IF(K68&gt;$C$3+$C$4,"",(K68-$G$26)/$C$4)</f>
        <v/>
      </c>
      <c r="I69" s="13" t="str">
        <f>IF(K68&gt;$C$3+$C$4,"",ROUND(IF(Tableau14691215[[#This Row],[Temps_Ref]]&gt;0,($F$13*Tableau14691215[[#This Row],[Temps_Ref]]^4+$G$13*Tableau14691215[[#This Row],[Temps_Ref]]^3+$H$13*Tableau14691215[[#This Row],[Temps_Ref]]^2+$I$13)/$J$13,0),1))</f>
        <v/>
      </c>
      <c r="J69" s="3" t="str">
        <f>IF(K68&gt;$C$3+$C$4,"",Tableau14691215[[#This Row],[duree_standard]]*Tableau14691215[[#This Row],[Correction_DuréeEffortIntense]])</f>
        <v/>
      </c>
      <c r="K69" s="3">
        <f>IF(K68&lt;($B$3+$B$4)*60,K68+Tableau14691215[[#This Row],[Durée_Corrigée]],K68)</f>
        <v>3170.4</v>
      </c>
      <c r="L69" s="3" t="str">
        <f t="shared" ref="L69:L96" si="159">IF(K68&gt;$C$3+$C$4,"",$B$8)</f>
        <v/>
      </c>
      <c r="M69" s="3" t="str">
        <f t="shared" ref="M69:M96" si="160">IF(K68&gt;$C$3+$C$4,"",$B$11)</f>
        <v/>
      </c>
    </row>
    <row r="70" spans="2:13" x14ac:dyDescent="0.25">
      <c r="B70" s="15"/>
      <c r="C70" s="3">
        <v>42</v>
      </c>
      <c r="D70" s="3" t="s">
        <v>7</v>
      </c>
      <c r="E70" s="3" t="str">
        <f>IF(K69&gt;$C$3+$C$4,"",Tableau14691215[[#This Row],[cumul_temps]]/60)</f>
        <v/>
      </c>
      <c r="F70" s="3" t="str">
        <f t="shared" ref="F70" si="161">IF(K69&gt;$C$3+$C$4,"",60*$B$14)</f>
        <v/>
      </c>
      <c r="H70" s="13"/>
      <c r="I70" s="13"/>
      <c r="J70" s="13"/>
      <c r="K70" s="3">
        <f>IF(K69&lt;($B$3+$B$4)*60,K69+Tableau14691215[[#This Row],[duree_standard]],K69)</f>
        <v>3170.4</v>
      </c>
      <c r="L70" s="3" t="str">
        <f t="shared" ref="L70:L96" si="162">IF(K69&gt;$C$3+$C$4,"",$B$7)</f>
        <v/>
      </c>
      <c r="M70" s="3" t="str">
        <f t="shared" ref="M70:M96" si="163">IF(K69&gt;$C$3+$C$4,"",$B$10)</f>
        <v/>
      </c>
    </row>
    <row r="71" spans="2:13" x14ac:dyDescent="0.25">
      <c r="B71" s="15"/>
      <c r="C71" s="3">
        <v>43</v>
      </c>
      <c r="D71" s="3" t="s">
        <v>27</v>
      </c>
      <c r="E71" s="3" t="str">
        <f>IF(K70&gt;$C$3+$C$4,"",Tableau14691215[[#This Row],[cumul_temps]]/60)</f>
        <v/>
      </c>
      <c r="F71" s="3" t="str">
        <f t="shared" ref="F71" si="164">IF(K70&gt;$C$3+$C$4,"",60*$B$13)</f>
        <v/>
      </c>
      <c r="G71" s="3" t="str">
        <f t="shared" ref="G71" si="165">IF(K70&gt;$C$3+$C$4,"",G69+1)</f>
        <v/>
      </c>
      <c r="H71" s="13" t="str">
        <f t="shared" ref="H71" si="166">IF(K70&gt;$C$3+$C$4,"",(K70-$G$26)/$C$4)</f>
        <v/>
      </c>
      <c r="I71" s="13" t="str">
        <f>IF(K70&gt;$C$3+$C$4,"",ROUND(IF(Tableau14691215[[#This Row],[Temps_Ref]]&gt;0,($F$13*Tableau14691215[[#This Row],[Temps_Ref]]^4+$G$13*Tableau14691215[[#This Row],[Temps_Ref]]^3+$H$13*Tableau14691215[[#This Row],[Temps_Ref]]^2+$I$13)/$J$13,0),1))</f>
        <v/>
      </c>
      <c r="J71" s="3" t="str">
        <f>IF(K70&gt;$C$3+$C$4,"",Tableau14691215[[#This Row],[duree_standard]]*Tableau14691215[[#This Row],[Correction_DuréeEffortIntense]])</f>
        <v/>
      </c>
      <c r="K71" s="3">
        <f>IF(K70&lt;($B$3+$B$4)*60,K70+Tableau14691215[[#This Row],[Durée_Corrigée]],K70)</f>
        <v>3170.4</v>
      </c>
      <c r="L71" s="3" t="str">
        <f t="shared" ref="L71:L96" si="167">IF(K70&gt;$C$3+$C$4,"",$B$8)</f>
        <v/>
      </c>
      <c r="M71" s="3" t="str">
        <f t="shared" ref="M71:M96" si="168">IF(K70&gt;$C$3+$C$4,"",$B$11)</f>
        <v/>
      </c>
    </row>
    <row r="72" spans="2:13" x14ac:dyDescent="0.25">
      <c r="B72" s="15"/>
      <c r="C72" s="3">
        <v>44</v>
      </c>
      <c r="D72" s="3" t="s">
        <v>7</v>
      </c>
      <c r="E72" s="3" t="str">
        <f>IF(K71&gt;$C$3+$C$4,"",Tableau14691215[[#This Row],[cumul_temps]]/60)</f>
        <v/>
      </c>
      <c r="F72" s="3" t="str">
        <f t="shared" ref="F72" si="169">IF(K71&gt;$C$3+$C$4,"",60*$B$14)</f>
        <v/>
      </c>
      <c r="H72" s="13"/>
      <c r="I72" s="13"/>
      <c r="J72" s="13"/>
      <c r="K72" s="3">
        <f>IF(K71&lt;($B$3+$B$4)*60,K71+Tableau14691215[[#This Row],[duree_standard]],K71)</f>
        <v>3170.4</v>
      </c>
      <c r="L72" s="3" t="str">
        <f t="shared" ref="L72:L96" si="170">IF(K71&gt;$C$3+$C$4,"",$B$7)</f>
        <v/>
      </c>
      <c r="M72" s="3" t="str">
        <f t="shared" ref="M72:M96" si="171">IF(K71&gt;$C$3+$C$4,"",$B$10)</f>
        <v/>
      </c>
    </row>
    <row r="73" spans="2:13" x14ac:dyDescent="0.25">
      <c r="B73" s="15"/>
      <c r="C73" s="3">
        <v>45</v>
      </c>
      <c r="D73" s="3" t="s">
        <v>27</v>
      </c>
      <c r="E73" s="3" t="str">
        <f>IF(K72&gt;$C$3+$C$4,"",Tableau14691215[[#This Row],[cumul_temps]]/60)</f>
        <v/>
      </c>
      <c r="F73" s="3" t="str">
        <f t="shared" ref="F73" si="172">IF(K72&gt;$C$3+$C$4,"",60*$B$13)</f>
        <v/>
      </c>
      <c r="G73" s="3" t="str">
        <f t="shared" ref="G73" si="173">IF(K72&gt;$C$3+$C$4,"",G71+1)</f>
        <v/>
      </c>
      <c r="H73" s="13" t="str">
        <f t="shared" ref="H73" si="174">IF(K72&gt;$C$3+$C$4,"",(K72-$G$26)/$C$4)</f>
        <v/>
      </c>
      <c r="I73" s="13" t="str">
        <f>IF(K72&gt;$C$3+$C$4,"",ROUND(IF(Tableau14691215[[#This Row],[Temps_Ref]]&gt;0,($F$13*Tableau14691215[[#This Row],[Temps_Ref]]^4+$G$13*Tableau14691215[[#This Row],[Temps_Ref]]^3+$H$13*Tableau14691215[[#This Row],[Temps_Ref]]^2+$I$13)/$J$13,0),1))</f>
        <v/>
      </c>
      <c r="J73" s="3" t="str">
        <f>IF(K72&gt;$C$3+$C$4,"",Tableau14691215[[#This Row],[duree_standard]]*Tableau14691215[[#This Row],[Correction_DuréeEffortIntense]])</f>
        <v/>
      </c>
      <c r="K73" s="3">
        <f>IF(K72&lt;($B$3+$B$4)*60,K72+Tableau14691215[[#This Row],[Durée_Corrigée]],K72)</f>
        <v>3170.4</v>
      </c>
      <c r="L73" s="3" t="str">
        <f t="shared" ref="L73:L96" si="175">IF(K72&gt;$C$3+$C$4,"",$B$8)</f>
        <v/>
      </c>
      <c r="M73" s="3" t="str">
        <f t="shared" ref="M73:M96" si="176">IF(K72&gt;$C$3+$C$4,"",$B$11)</f>
        <v/>
      </c>
    </row>
    <row r="74" spans="2:13" x14ac:dyDescent="0.25">
      <c r="B74" s="15"/>
      <c r="C74" s="3">
        <v>46</v>
      </c>
      <c r="D74" s="3" t="s">
        <v>7</v>
      </c>
      <c r="E74" s="3" t="str">
        <f>IF(K73&gt;$C$3+$C$4,"",Tableau14691215[[#This Row],[cumul_temps]]/60)</f>
        <v/>
      </c>
      <c r="F74" s="3" t="str">
        <f t="shared" ref="F74:F96" si="177">IF(K73&gt;$C$3+$C$4,"",60*$B$14)</f>
        <v/>
      </c>
      <c r="H74" s="13"/>
      <c r="I74" s="13"/>
      <c r="J74" s="13"/>
      <c r="K74" s="3">
        <f>IF(K73&lt;($B$3+$B$4)*60,K73+Tableau14691215[[#This Row],[duree_standard]],K73)</f>
        <v>3170.4</v>
      </c>
      <c r="L74" s="3" t="str">
        <f t="shared" ref="L74:L96" si="178">IF(K73&gt;$C$3+$C$4,"",$B$7)</f>
        <v/>
      </c>
      <c r="M74" s="3" t="str">
        <f t="shared" ref="M74:M96" si="179">IF(K73&gt;$C$3+$C$4,"",$B$10)</f>
        <v/>
      </c>
    </row>
    <row r="75" spans="2:13" x14ac:dyDescent="0.25">
      <c r="B75" s="15"/>
      <c r="C75" s="3">
        <v>47</v>
      </c>
      <c r="D75" s="3" t="s">
        <v>27</v>
      </c>
      <c r="E75" s="3" t="str">
        <f>IF(K74&gt;$C$3+$C$4,"",Tableau14691215[[#This Row],[cumul_temps]]/60)</f>
        <v/>
      </c>
      <c r="F75" s="3" t="str">
        <f t="shared" ref="F75:F96" si="180">IF(K74&gt;$C$3+$C$4,"",60*$B$13)</f>
        <v/>
      </c>
      <c r="G75" s="3" t="str">
        <f t="shared" ref="G75" si="181">IF(K74&gt;$C$3+$C$4,"",G73+1)</f>
        <v/>
      </c>
      <c r="H75" s="13" t="str">
        <f t="shared" ref="H75:H96" si="182">IF(K74&gt;$C$3+$C$4,"",(K74-$G$26)/$C$4)</f>
        <v/>
      </c>
      <c r="I75" s="13" t="str">
        <f>IF(K74&gt;$C$3+$C$4,"",ROUND(IF(Tableau14691215[[#This Row],[Temps_Ref]]&gt;0,($F$13*Tableau14691215[[#This Row],[Temps_Ref]]^4+$G$13*Tableau14691215[[#This Row],[Temps_Ref]]^3+$H$13*Tableau14691215[[#This Row],[Temps_Ref]]^2+$I$13)/$J$13,0),1))</f>
        <v/>
      </c>
      <c r="J75" s="3" t="str">
        <f>IF(K74&gt;$C$3+$C$4,"",Tableau14691215[[#This Row],[duree_standard]]*Tableau14691215[[#This Row],[Correction_DuréeEffortIntense]])</f>
        <v/>
      </c>
      <c r="K75" s="3">
        <f>IF(K74&lt;($B$3+$B$4)*60,K74+Tableau14691215[[#This Row],[Durée_Corrigée]],K74)</f>
        <v>3170.4</v>
      </c>
      <c r="L75" s="3" t="str">
        <f t="shared" ref="L75:L96" si="183">IF(K74&gt;$C$3+$C$4,"",$B$8)</f>
        <v/>
      </c>
      <c r="M75" s="3" t="str">
        <f t="shared" ref="M75:M96" si="184">IF(K74&gt;$C$3+$C$4,"",$B$11)</f>
        <v/>
      </c>
    </row>
    <row r="76" spans="2:13" x14ac:dyDescent="0.25">
      <c r="B76" s="15"/>
      <c r="C76" s="3">
        <v>48</v>
      </c>
      <c r="D76" s="3" t="s">
        <v>7</v>
      </c>
      <c r="E76" s="3" t="str">
        <f>IF(K75&gt;$C$3+$C$4,"",Tableau14691215[[#This Row],[cumul_temps]]/60)</f>
        <v/>
      </c>
      <c r="F76" s="3" t="str">
        <f t="shared" ref="F76:F96" si="185">IF(K75&gt;$C$3+$C$4,"",60*$B$14)</f>
        <v/>
      </c>
      <c r="H76" s="13"/>
      <c r="I76" s="13"/>
      <c r="J76" s="13"/>
      <c r="K76" s="3">
        <f>IF(K75&lt;($B$3+$B$4)*60,K75+Tableau14691215[[#This Row],[duree_standard]],K75)</f>
        <v>3170.4</v>
      </c>
      <c r="L76" s="3" t="str">
        <f t="shared" ref="L76:L96" si="186">IF(K75&gt;$C$3+$C$4,"",$B$7)</f>
        <v/>
      </c>
      <c r="M76" s="3" t="str">
        <f t="shared" ref="M76:M96" si="187">IF(K75&gt;$C$3+$C$4,"",$B$10)</f>
        <v/>
      </c>
    </row>
    <row r="77" spans="2:13" x14ac:dyDescent="0.25">
      <c r="B77" s="15"/>
      <c r="C77" s="3">
        <v>49</v>
      </c>
      <c r="D77" s="3" t="s">
        <v>27</v>
      </c>
      <c r="E77" s="3" t="str">
        <f>IF(K76&gt;$C$3+$C$4,"",Tableau14691215[[#This Row],[cumul_temps]]/60)</f>
        <v/>
      </c>
      <c r="F77" s="3" t="str">
        <f t="shared" ref="F77:F96" si="188">IF(K76&gt;$C$3+$C$4,"",60*$B$13)</f>
        <v/>
      </c>
      <c r="G77" s="3" t="str">
        <f t="shared" ref="G77" si="189">IF(K76&gt;$C$3+$C$4,"",G75+1)</f>
        <v/>
      </c>
      <c r="H77" s="13" t="str">
        <f t="shared" ref="H77:H96" si="190">IF(K76&gt;$C$3+$C$4,"",(K76-$G$26)/$C$4)</f>
        <v/>
      </c>
      <c r="I77" s="13" t="str">
        <f>IF(K76&gt;$C$3+$C$4,"",ROUND(IF(Tableau14691215[[#This Row],[Temps_Ref]]&gt;0,($F$13*Tableau14691215[[#This Row],[Temps_Ref]]^4+$G$13*Tableau14691215[[#This Row],[Temps_Ref]]^3+$H$13*Tableau14691215[[#This Row],[Temps_Ref]]^2+$I$13)/$J$13,0),1))</f>
        <v/>
      </c>
      <c r="J77" s="3" t="str">
        <f>IF(K76&gt;$C$3+$C$4,"",Tableau14691215[[#This Row],[duree_standard]]*Tableau14691215[[#This Row],[Correction_DuréeEffortIntense]])</f>
        <v/>
      </c>
      <c r="K77" s="3">
        <f>IF(K76&lt;($B$3+$B$4)*60,K76+Tableau14691215[[#This Row],[Durée_Corrigée]],K76)</f>
        <v>3170.4</v>
      </c>
      <c r="L77" s="3" t="str">
        <f t="shared" ref="L77:L96" si="191">IF(K76&gt;$C$3+$C$4,"",$B$8)</f>
        <v/>
      </c>
      <c r="M77" s="3" t="str">
        <f t="shared" ref="M77:M96" si="192">IF(K76&gt;$C$3+$C$4,"",$B$11)</f>
        <v/>
      </c>
    </row>
    <row r="78" spans="2:13" x14ac:dyDescent="0.25">
      <c r="B78" s="15"/>
      <c r="C78" s="3">
        <v>50</v>
      </c>
      <c r="D78" s="3" t="s">
        <v>7</v>
      </c>
      <c r="E78" s="3" t="str">
        <f>IF(K77&gt;$C$3+$C$4,"",Tableau14691215[[#This Row],[cumul_temps]]/60)</f>
        <v/>
      </c>
      <c r="F78" s="3" t="str">
        <f t="shared" ref="F78:F96" si="193">IF(K77&gt;$C$3+$C$4,"",60*$B$14)</f>
        <v/>
      </c>
      <c r="H78" s="13"/>
      <c r="I78" s="13"/>
      <c r="J78" s="13"/>
      <c r="K78" s="3">
        <f>IF(K77&lt;($B$3+$B$4)*60,K77+Tableau14691215[[#This Row],[duree_standard]],K77)</f>
        <v>3170.4</v>
      </c>
      <c r="L78" s="3" t="str">
        <f t="shared" ref="L78:L96" si="194">IF(K77&gt;$C$3+$C$4,"",$B$7)</f>
        <v/>
      </c>
      <c r="M78" s="3" t="str">
        <f t="shared" ref="M78:M96" si="195">IF(K77&gt;$C$3+$C$4,"",$B$10)</f>
        <v/>
      </c>
    </row>
    <row r="79" spans="2:13" x14ac:dyDescent="0.25">
      <c r="B79" s="15"/>
      <c r="C79" s="3">
        <v>51</v>
      </c>
      <c r="D79" s="3" t="s">
        <v>27</v>
      </c>
      <c r="E79" s="3" t="str">
        <f>IF(K78&gt;$C$3+$C$4,"",Tableau14691215[[#This Row],[cumul_temps]]/60)</f>
        <v/>
      </c>
      <c r="F79" s="3" t="str">
        <f t="shared" ref="F79:F96" si="196">IF(K78&gt;$C$3+$C$4,"",60*$B$13)</f>
        <v/>
      </c>
      <c r="G79" s="3" t="str">
        <f t="shared" ref="G79" si="197">IF(K78&gt;$C$3+$C$4,"",G77+1)</f>
        <v/>
      </c>
      <c r="H79" s="13" t="str">
        <f t="shared" ref="H79:H96" si="198">IF(K78&gt;$C$3+$C$4,"",(K78-$G$26)/$C$4)</f>
        <v/>
      </c>
      <c r="I79" s="13" t="str">
        <f>IF(K78&gt;$C$3+$C$4,"",ROUND(IF(Tableau14691215[[#This Row],[Temps_Ref]]&gt;0,($F$13*Tableau14691215[[#This Row],[Temps_Ref]]^4+$G$13*Tableau14691215[[#This Row],[Temps_Ref]]^3+$H$13*Tableau14691215[[#This Row],[Temps_Ref]]^2+$I$13)/$J$13,0),1))</f>
        <v/>
      </c>
      <c r="J79" s="3" t="str">
        <f>IF(K78&gt;$C$3+$C$4,"",Tableau14691215[[#This Row],[duree_standard]]*Tableau14691215[[#This Row],[Correction_DuréeEffortIntense]])</f>
        <v/>
      </c>
      <c r="K79" s="3">
        <f>IF(K78&lt;($B$3+$B$4)*60,K78+Tableau14691215[[#This Row],[Durée_Corrigée]],K78)</f>
        <v>3170.4</v>
      </c>
      <c r="L79" s="3" t="str">
        <f t="shared" ref="L79:L96" si="199">IF(K78&gt;$C$3+$C$4,"",$B$8)</f>
        <v/>
      </c>
      <c r="M79" s="3" t="str">
        <f t="shared" ref="M79:M96" si="200">IF(K78&gt;$C$3+$C$4,"",$B$11)</f>
        <v/>
      </c>
    </row>
    <row r="80" spans="2:13" x14ac:dyDescent="0.25">
      <c r="B80" s="15"/>
      <c r="C80" s="3">
        <v>52</v>
      </c>
      <c r="D80" s="3" t="s">
        <v>7</v>
      </c>
      <c r="E80" s="3" t="str">
        <f>IF(K79&gt;$C$3+$C$4,"",Tableau14691215[[#This Row],[cumul_temps]]/60)</f>
        <v/>
      </c>
      <c r="F80" s="3" t="str">
        <f t="shared" ref="F80:F96" si="201">IF(K79&gt;$C$3+$C$4,"",60*$B$14)</f>
        <v/>
      </c>
      <c r="H80" s="13"/>
      <c r="I80" s="13"/>
      <c r="J80" s="13"/>
      <c r="K80" s="3">
        <f>IF(K79&lt;($B$3+$B$4)*60,K79+Tableau14691215[[#This Row],[duree_standard]],K79)</f>
        <v>3170.4</v>
      </c>
      <c r="L80" s="3" t="str">
        <f t="shared" ref="L80:L96" si="202">IF(K79&gt;$C$3+$C$4,"",$B$7)</f>
        <v/>
      </c>
      <c r="M80" s="3" t="str">
        <f t="shared" ref="M80:M96" si="203">IF(K79&gt;$C$3+$C$4,"",$B$10)</f>
        <v/>
      </c>
    </row>
    <row r="81" spans="2:13" x14ac:dyDescent="0.25">
      <c r="B81" s="15"/>
      <c r="C81" s="3">
        <v>53</v>
      </c>
      <c r="D81" s="3" t="s">
        <v>27</v>
      </c>
      <c r="E81" s="3" t="str">
        <f>IF(K80&gt;$C$3+$C$4,"",Tableau14691215[[#This Row],[cumul_temps]]/60)</f>
        <v/>
      </c>
      <c r="F81" s="3" t="str">
        <f t="shared" ref="F81:F96" si="204">IF(K80&gt;$C$3+$C$4,"",60*$B$13)</f>
        <v/>
      </c>
      <c r="G81" s="3" t="str">
        <f t="shared" ref="G81" si="205">IF(K80&gt;$C$3+$C$4,"",G79+1)</f>
        <v/>
      </c>
      <c r="H81" s="13" t="str">
        <f t="shared" ref="H81:H96" si="206">IF(K80&gt;$C$3+$C$4,"",(K80-$G$26)/$C$4)</f>
        <v/>
      </c>
      <c r="I81" s="13" t="str">
        <f>IF(K80&gt;$C$3+$C$4,"",ROUND(IF(Tableau14691215[[#This Row],[Temps_Ref]]&gt;0,($F$13*Tableau14691215[[#This Row],[Temps_Ref]]^4+$G$13*Tableau14691215[[#This Row],[Temps_Ref]]^3+$H$13*Tableau14691215[[#This Row],[Temps_Ref]]^2+$I$13)/$J$13,0),1))</f>
        <v/>
      </c>
      <c r="J81" s="3" t="str">
        <f>IF(K80&gt;$C$3+$C$4,"",Tableau14691215[[#This Row],[duree_standard]]*Tableau14691215[[#This Row],[Correction_DuréeEffortIntense]])</f>
        <v/>
      </c>
      <c r="K81" s="3">
        <f>IF(K80&lt;($B$3+$B$4)*60,K80+Tableau14691215[[#This Row],[Durée_Corrigée]],K80)</f>
        <v>3170.4</v>
      </c>
      <c r="L81" s="3" t="str">
        <f t="shared" ref="L81:L96" si="207">IF(K80&gt;$C$3+$C$4,"",$B$8)</f>
        <v/>
      </c>
      <c r="M81" s="3" t="str">
        <f t="shared" ref="M81:M96" si="208">IF(K80&gt;$C$3+$C$4,"",$B$11)</f>
        <v/>
      </c>
    </row>
    <row r="82" spans="2:13" x14ac:dyDescent="0.25">
      <c r="B82" s="15"/>
      <c r="C82" s="3">
        <v>54</v>
      </c>
      <c r="D82" s="3" t="s">
        <v>7</v>
      </c>
      <c r="E82" s="3" t="str">
        <f>IF(K81&gt;$C$3+$C$4,"",Tableau14691215[[#This Row],[cumul_temps]]/60)</f>
        <v/>
      </c>
      <c r="F82" s="3" t="str">
        <f t="shared" ref="F82:F96" si="209">IF(K81&gt;$C$3+$C$4,"",60*$B$14)</f>
        <v/>
      </c>
      <c r="H82" s="13"/>
      <c r="I82" s="13"/>
      <c r="J82" s="13"/>
      <c r="K82" s="3">
        <f>IF(K81&lt;($B$3+$B$4)*60,K81+Tableau14691215[[#This Row],[duree_standard]],K81)</f>
        <v>3170.4</v>
      </c>
      <c r="L82" s="3" t="str">
        <f t="shared" ref="L82:L96" si="210">IF(K81&gt;$C$3+$C$4,"",$B$7)</f>
        <v/>
      </c>
      <c r="M82" s="3" t="str">
        <f t="shared" ref="M82:M96" si="211">IF(K81&gt;$C$3+$C$4,"",$B$10)</f>
        <v/>
      </c>
    </row>
    <row r="83" spans="2:13" x14ac:dyDescent="0.25">
      <c r="B83" s="15"/>
      <c r="C83" s="3">
        <v>55</v>
      </c>
      <c r="D83" s="3" t="s">
        <v>27</v>
      </c>
      <c r="E83" s="3" t="str">
        <f>IF(K82&gt;$C$3+$C$4,"",Tableau14691215[[#This Row],[cumul_temps]]/60)</f>
        <v/>
      </c>
      <c r="F83" s="3" t="str">
        <f t="shared" ref="F83:F96" si="212">IF(K82&gt;$C$3+$C$4,"",60*$B$13)</f>
        <v/>
      </c>
      <c r="G83" s="3" t="str">
        <f t="shared" ref="G83" si="213">IF(K82&gt;$C$3+$C$4,"",G81+1)</f>
        <v/>
      </c>
      <c r="H83" s="13" t="str">
        <f t="shared" ref="H83:H96" si="214">IF(K82&gt;$C$3+$C$4,"",(K82-$G$26)/$C$4)</f>
        <v/>
      </c>
      <c r="I83" s="13" t="str">
        <f>IF(K82&gt;$C$3+$C$4,"",ROUND(IF(Tableau14691215[[#This Row],[Temps_Ref]]&gt;0,($F$13*Tableau14691215[[#This Row],[Temps_Ref]]^4+$G$13*Tableau14691215[[#This Row],[Temps_Ref]]^3+$H$13*Tableau14691215[[#This Row],[Temps_Ref]]^2+$I$13)/$J$13,0),1))</f>
        <v/>
      </c>
      <c r="J83" s="3" t="str">
        <f>IF(K82&gt;$C$3+$C$4,"",Tableau14691215[[#This Row],[duree_standard]]*Tableau14691215[[#This Row],[Correction_DuréeEffortIntense]])</f>
        <v/>
      </c>
      <c r="K83" s="3">
        <f>IF(K82&lt;($B$3+$B$4)*60,K82+Tableau14691215[[#This Row],[Durée_Corrigée]],K82)</f>
        <v>3170.4</v>
      </c>
      <c r="L83" s="3" t="str">
        <f t="shared" ref="L83:L96" si="215">IF(K82&gt;$C$3+$C$4,"",$B$8)</f>
        <v/>
      </c>
      <c r="M83" s="3" t="str">
        <f t="shared" ref="M83:M96" si="216">IF(K82&gt;$C$3+$C$4,"",$B$11)</f>
        <v/>
      </c>
    </row>
    <row r="84" spans="2:13" x14ac:dyDescent="0.25">
      <c r="B84" s="15"/>
      <c r="C84" s="3">
        <v>56</v>
      </c>
      <c r="D84" s="3" t="s">
        <v>7</v>
      </c>
      <c r="E84" s="3" t="str">
        <f>IF(K83&gt;$C$3+$C$4,"",Tableau14691215[[#This Row],[cumul_temps]]/60)</f>
        <v/>
      </c>
      <c r="F84" s="3" t="str">
        <f t="shared" ref="F84:F96" si="217">IF(K83&gt;$C$3+$C$4,"",60*$B$14)</f>
        <v/>
      </c>
      <c r="H84" s="13"/>
      <c r="I84" s="13"/>
      <c r="J84" s="13"/>
      <c r="K84" s="3">
        <f>IF(K83&lt;($B$3+$B$4)*60,K83+Tableau14691215[[#This Row],[duree_standard]],K83)</f>
        <v>3170.4</v>
      </c>
      <c r="L84" s="3" t="str">
        <f t="shared" ref="L84:L96" si="218">IF(K83&gt;$C$3+$C$4,"",$B$7)</f>
        <v/>
      </c>
      <c r="M84" s="3" t="str">
        <f t="shared" ref="M84:M96" si="219">IF(K83&gt;$C$3+$C$4,"",$B$10)</f>
        <v/>
      </c>
    </row>
    <row r="85" spans="2:13" x14ac:dyDescent="0.25">
      <c r="B85" s="15"/>
      <c r="C85" s="3">
        <v>57</v>
      </c>
      <c r="D85" s="3" t="s">
        <v>27</v>
      </c>
      <c r="E85" s="3" t="str">
        <f>IF(K84&gt;$C$3+$C$4,"",Tableau14691215[[#This Row],[cumul_temps]]/60)</f>
        <v/>
      </c>
      <c r="F85" s="3" t="str">
        <f t="shared" ref="F85:F96" si="220">IF(K84&gt;$C$3+$C$4,"",60*$B$13)</f>
        <v/>
      </c>
      <c r="G85" s="3" t="str">
        <f t="shared" ref="G85" si="221">IF(K84&gt;$C$3+$C$4,"",G83+1)</f>
        <v/>
      </c>
      <c r="H85" s="13" t="str">
        <f t="shared" ref="H85:H96" si="222">IF(K84&gt;$C$3+$C$4,"",(K84-$G$26)/$C$4)</f>
        <v/>
      </c>
      <c r="I85" s="13" t="str">
        <f>IF(K84&gt;$C$3+$C$4,"",ROUND(IF(Tableau14691215[[#This Row],[Temps_Ref]]&gt;0,($F$13*Tableau14691215[[#This Row],[Temps_Ref]]^4+$G$13*Tableau14691215[[#This Row],[Temps_Ref]]^3+$H$13*Tableau14691215[[#This Row],[Temps_Ref]]^2+$I$13)/$J$13,0),1))</f>
        <v/>
      </c>
      <c r="J85" s="3" t="str">
        <f>IF(K84&gt;$C$3+$C$4,"",Tableau14691215[[#This Row],[duree_standard]]*Tableau14691215[[#This Row],[Correction_DuréeEffortIntense]])</f>
        <v/>
      </c>
      <c r="K85" s="3">
        <f>IF(K84&lt;($B$3+$B$4)*60,K84+Tableau14691215[[#This Row],[Durée_Corrigée]],K84)</f>
        <v>3170.4</v>
      </c>
      <c r="L85" s="3" t="str">
        <f t="shared" ref="L85:L96" si="223">IF(K84&gt;$C$3+$C$4,"",$B$8)</f>
        <v/>
      </c>
      <c r="M85" s="3" t="str">
        <f t="shared" ref="M85:M96" si="224">IF(K84&gt;$C$3+$C$4,"",$B$11)</f>
        <v/>
      </c>
    </row>
    <row r="86" spans="2:13" x14ac:dyDescent="0.25">
      <c r="B86" s="15"/>
      <c r="C86" s="3">
        <v>58</v>
      </c>
      <c r="D86" s="3" t="s">
        <v>7</v>
      </c>
      <c r="E86" s="3" t="str">
        <f>IF(K85&gt;$C$3+$C$4,"",Tableau14691215[[#This Row],[cumul_temps]]/60)</f>
        <v/>
      </c>
      <c r="F86" s="3" t="str">
        <f t="shared" ref="F86:F96" si="225">IF(K85&gt;$C$3+$C$4,"",60*$B$14)</f>
        <v/>
      </c>
      <c r="H86" s="13"/>
      <c r="I86" s="13"/>
      <c r="J86" s="13"/>
      <c r="K86" s="3">
        <f>IF(K85&lt;($B$3+$B$4)*60,K85+Tableau14691215[[#This Row],[duree_standard]],K85)</f>
        <v>3170.4</v>
      </c>
      <c r="L86" s="3" t="str">
        <f t="shared" ref="L86:L96" si="226">IF(K85&gt;$C$3+$C$4,"",$B$7)</f>
        <v/>
      </c>
      <c r="M86" s="3" t="str">
        <f t="shared" ref="M86:M96" si="227">IF(K85&gt;$C$3+$C$4,"",$B$10)</f>
        <v/>
      </c>
    </row>
    <row r="87" spans="2:13" x14ac:dyDescent="0.25">
      <c r="B87" s="15"/>
      <c r="C87" s="3">
        <v>59</v>
      </c>
      <c r="D87" s="3" t="s">
        <v>27</v>
      </c>
      <c r="E87" s="3" t="str">
        <f>IF(K86&gt;$C$3+$C$4,"",Tableau14691215[[#This Row],[cumul_temps]]/60)</f>
        <v/>
      </c>
      <c r="F87" s="3" t="str">
        <f t="shared" ref="F87:F96" si="228">IF(K86&gt;$C$3+$C$4,"",60*$B$13)</f>
        <v/>
      </c>
      <c r="G87" s="3" t="str">
        <f t="shared" ref="G87" si="229">IF(K86&gt;$C$3+$C$4,"",G85+1)</f>
        <v/>
      </c>
      <c r="H87" s="13" t="str">
        <f t="shared" ref="H87:H96" si="230">IF(K86&gt;$C$3+$C$4,"",(K86-$G$26)/$C$4)</f>
        <v/>
      </c>
      <c r="I87" s="13" t="str">
        <f>IF(K86&gt;$C$3+$C$4,"",ROUND(IF(Tableau14691215[[#This Row],[Temps_Ref]]&gt;0,($F$13*Tableau14691215[[#This Row],[Temps_Ref]]^4+$G$13*Tableau14691215[[#This Row],[Temps_Ref]]^3+$H$13*Tableau14691215[[#This Row],[Temps_Ref]]^2+$I$13)/$J$13,0),1))</f>
        <v/>
      </c>
      <c r="J87" s="3" t="str">
        <f>IF(K86&gt;$C$3+$C$4,"",Tableau14691215[[#This Row],[duree_standard]]*Tableau14691215[[#This Row],[Correction_DuréeEffortIntense]])</f>
        <v/>
      </c>
      <c r="K87" s="3">
        <f>IF(K86&lt;($B$3+$B$4)*60,K86+Tableau14691215[[#This Row],[Durée_Corrigée]],K86)</f>
        <v>3170.4</v>
      </c>
      <c r="L87" s="3" t="str">
        <f t="shared" ref="L87:L96" si="231">IF(K86&gt;$C$3+$C$4,"",$B$8)</f>
        <v/>
      </c>
      <c r="M87" s="3" t="str">
        <f t="shared" ref="M87:M96" si="232">IF(K86&gt;$C$3+$C$4,"",$B$11)</f>
        <v/>
      </c>
    </row>
    <row r="88" spans="2:13" x14ac:dyDescent="0.25">
      <c r="B88" s="15"/>
      <c r="C88" s="3">
        <v>60</v>
      </c>
      <c r="D88" s="3" t="s">
        <v>7</v>
      </c>
      <c r="E88" s="3" t="str">
        <f>IF(K87&gt;$C$3+$C$4,"",Tableau14691215[[#This Row],[cumul_temps]]/60)</f>
        <v/>
      </c>
      <c r="F88" s="3" t="str">
        <f t="shared" ref="F88:F96" si="233">IF(K87&gt;$C$3+$C$4,"",60*$B$14)</f>
        <v/>
      </c>
      <c r="H88" s="13"/>
      <c r="I88" s="13"/>
      <c r="J88" s="13"/>
      <c r="K88" s="3">
        <f>IF(K87&lt;($B$3+$B$4)*60,K87+Tableau14691215[[#This Row],[duree_standard]],K87)</f>
        <v>3170.4</v>
      </c>
      <c r="L88" s="3" t="str">
        <f t="shared" ref="L88:L96" si="234">IF(K87&gt;$C$3+$C$4,"",$B$7)</f>
        <v/>
      </c>
      <c r="M88" s="3" t="str">
        <f t="shared" ref="M88:M96" si="235">IF(K87&gt;$C$3+$C$4,"",$B$10)</f>
        <v/>
      </c>
    </row>
    <row r="89" spans="2:13" x14ac:dyDescent="0.25">
      <c r="B89" s="15"/>
      <c r="C89" s="3">
        <v>61</v>
      </c>
      <c r="D89" s="3" t="s">
        <v>27</v>
      </c>
      <c r="E89" s="3" t="str">
        <f>IF(K88&gt;$C$3+$C$4,"",Tableau14691215[[#This Row],[cumul_temps]]/60)</f>
        <v/>
      </c>
      <c r="F89" s="3" t="str">
        <f t="shared" ref="F89:F96" si="236">IF(K88&gt;$C$3+$C$4,"",60*$B$13)</f>
        <v/>
      </c>
      <c r="G89" s="3" t="str">
        <f t="shared" ref="G89" si="237">IF(K88&gt;$C$3+$C$4,"",G87+1)</f>
        <v/>
      </c>
      <c r="H89" s="13" t="str">
        <f t="shared" ref="H89:H96" si="238">IF(K88&gt;$C$3+$C$4,"",(K88-$G$26)/$C$4)</f>
        <v/>
      </c>
      <c r="I89" s="13" t="str">
        <f>IF(K88&gt;$C$3+$C$4,"",ROUND(IF(Tableau14691215[[#This Row],[Temps_Ref]]&gt;0,($F$13*Tableau14691215[[#This Row],[Temps_Ref]]^4+$G$13*Tableau14691215[[#This Row],[Temps_Ref]]^3+$H$13*Tableau14691215[[#This Row],[Temps_Ref]]^2+$I$13)/$J$13,0),1))</f>
        <v/>
      </c>
      <c r="J89" s="3" t="str">
        <f>IF(K88&gt;$C$3+$C$4,"",Tableau14691215[[#This Row],[duree_standard]]*Tableau14691215[[#This Row],[Correction_DuréeEffortIntense]])</f>
        <v/>
      </c>
      <c r="K89" s="3">
        <f>IF(K88&lt;($B$3+$B$4)*60,K88+Tableau14691215[[#This Row],[Durée_Corrigée]],K88)</f>
        <v>3170.4</v>
      </c>
      <c r="L89" s="3" t="str">
        <f t="shared" ref="L89:L96" si="239">IF(K88&gt;$C$3+$C$4,"",$B$8)</f>
        <v/>
      </c>
      <c r="M89" s="3" t="str">
        <f t="shared" ref="M89:M96" si="240">IF(K88&gt;$C$3+$C$4,"",$B$11)</f>
        <v/>
      </c>
    </row>
    <row r="90" spans="2:13" x14ac:dyDescent="0.25">
      <c r="B90" s="15"/>
      <c r="C90" s="3">
        <v>62</v>
      </c>
      <c r="D90" s="3" t="s">
        <v>7</v>
      </c>
      <c r="E90" s="3" t="str">
        <f>IF(K89&gt;$C$3+$C$4,"",Tableau14691215[[#This Row],[cumul_temps]]/60)</f>
        <v/>
      </c>
      <c r="F90" s="3" t="str">
        <f t="shared" ref="F90:F96" si="241">IF(K89&gt;$C$3+$C$4,"",60*$B$14)</f>
        <v/>
      </c>
      <c r="H90" s="13"/>
      <c r="I90" s="13"/>
      <c r="J90" s="13"/>
      <c r="K90" s="3">
        <f>IF(K89&lt;($B$3+$B$4)*60,K89+Tableau14691215[[#This Row],[duree_standard]],K89)</f>
        <v>3170.4</v>
      </c>
      <c r="L90" s="3" t="str">
        <f t="shared" ref="L90:L96" si="242">IF(K89&gt;$C$3+$C$4,"",$B$7)</f>
        <v/>
      </c>
      <c r="M90" s="3" t="str">
        <f t="shared" ref="M90:M96" si="243">IF(K89&gt;$C$3+$C$4,"",$B$10)</f>
        <v/>
      </c>
    </row>
    <row r="91" spans="2:13" x14ac:dyDescent="0.25">
      <c r="B91" s="15"/>
      <c r="C91" s="3">
        <v>63</v>
      </c>
      <c r="D91" s="3" t="s">
        <v>27</v>
      </c>
      <c r="E91" s="3" t="str">
        <f>IF(K90&gt;$C$3+$C$4,"",Tableau14691215[[#This Row],[cumul_temps]]/60)</f>
        <v/>
      </c>
      <c r="F91" s="3" t="str">
        <f t="shared" ref="F91:F96" si="244">IF(K90&gt;$C$3+$C$4,"",60*$B$13)</f>
        <v/>
      </c>
      <c r="G91" s="3" t="str">
        <f t="shared" ref="G91" si="245">IF(K90&gt;$C$3+$C$4,"",G89+1)</f>
        <v/>
      </c>
      <c r="H91" s="13" t="str">
        <f t="shared" ref="H91:H96" si="246">IF(K90&gt;$C$3+$C$4,"",(K90-$G$26)/$C$4)</f>
        <v/>
      </c>
      <c r="I91" s="13" t="str">
        <f>IF(K90&gt;$C$3+$C$4,"",ROUND(IF(Tableau14691215[[#This Row],[Temps_Ref]]&gt;0,($F$13*Tableau14691215[[#This Row],[Temps_Ref]]^4+$G$13*Tableau14691215[[#This Row],[Temps_Ref]]^3+$H$13*Tableau14691215[[#This Row],[Temps_Ref]]^2+$I$13)/$J$13,0),1))</f>
        <v/>
      </c>
      <c r="J91" s="3" t="str">
        <f>IF(K90&gt;$C$3+$C$4,"",Tableau14691215[[#This Row],[duree_standard]]*Tableau14691215[[#This Row],[Correction_DuréeEffortIntense]])</f>
        <v/>
      </c>
      <c r="K91" s="3">
        <f>IF(K90&lt;($B$3+$B$4)*60,K90+Tableau14691215[[#This Row],[Durée_Corrigée]],K90)</f>
        <v>3170.4</v>
      </c>
      <c r="L91" s="3" t="str">
        <f t="shared" ref="L91:L96" si="247">IF(K90&gt;$C$3+$C$4,"",$B$8)</f>
        <v/>
      </c>
      <c r="M91" s="3" t="str">
        <f t="shared" ref="M91:M96" si="248">IF(K90&gt;$C$3+$C$4,"",$B$11)</f>
        <v/>
      </c>
    </row>
    <row r="92" spans="2:13" x14ac:dyDescent="0.25">
      <c r="B92" s="15"/>
      <c r="C92" s="3">
        <v>64</v>
      </c>
      <c r="D92" s="3" t="s">
        <v>7</v>
      </c>
      <c r="E92" s="3" t="str">
        <f>IF(K91&gt;$C$3+$C$4,"",Tableau14691215[[#This Row],[cumul_temps]]/60)</f>
        <v/>
      </c>
      <c r="F92" s="3" t="str">
        <f t="shared" ref="F92:F96" si="249">IF(K91&gt;$C$3+$C$4,"",60*$B$14)</f>
        <v/>
      </c>
      <c r="H92" s="13"/>
      <c r="I92" s="13"/>
      <c r="J92" s="13"/>
      <c r="K92" s="3">
        <f>IF(K91&lt;($B$3+$B$4)*60,K91+Tableau14691215[[#This Row],[duree_standard]],K91)</f>
        <v>3170.4</v>
      </c>
      <c r="L92" s="3" t="str">
        <f t="shared" ref="L92:L96" si="250">IF(K91&gt;$C$3+$C$4,"",$B$7)</f>
        <v/>
      </c>
      <c r="M92" s="3" t="str">
        <f t="shared" ref="M92:M96" si="251">IF(K91&gt;$C$3+$C$4,"",$B$10)</f>
        <v/>
      </c>
    </row>
    <row r="93" spans="2:13" x14ac:dyDescent="0.25">
      <c r="B93" s="15"/>
      <c r="C93" s="3">
        <v>65</v>
      </c>
      <c r="D93" s="3" t="s">
        <v>27</v>
      </c>
      <c r="E93" s="3" t="str">
        <f>IF(K92&gt;$C$3+$C$4,"",Tableau14691215[[#This Row],[cumul_temps]]/60)</f>
        <v/>
      </c>
      <c r="F93" s="3" t="str">
        <f t="shared" ref="F93:F96" si="252">IF(K92&gt;$C$3+$C$4,"",60*$B$13)</f>
        <v/>
      </c>
      <c r="G93" s="3" t="str">
        <f t="shared" ref="G93" si="253">IF(K92&gt;$C$3+$C$4,"",G91+1)</f>
        <v/>
      </c>
      <c r="H93" s="13" t="str">
        <f t="shared" ref="H93:H96" si="254">IF(K92&gt;$C$3+$C$4,"",(K92-$G$26)/$C$4)</f>
        <v/>
      </c>
      <c r="I93" s="13" t="str">
        <f>IF(K92&gt;$C$3+$C$4,"",ROUND(IF(Tableau14691215[[#This Row],[Temps_Ref]]&gt;0,($F$13*Tableau14691215[[#This Row],[Temps_Ref]]^4+$G$13*Tableau14691215[[#This Row],[Temps_Ref]]^3+$H$13*Tableau14691215[[#This Row],[Temps_Ref]]^2+$I$13)/$J$13,0),1))</f>
        <v/>
      </c>
      <c r="J93" s="3" t="str">
        <f>IF(K92&gt;$C$3+$C$4,"",Tableau14691215[[#This Row],[duree_standard]]*Tableau14691215[[#This Row],[Correction_DuréeEffortIntense]])</f>
        <v/>
      </c>
      <c r="K93" s="3">
        <f>IF(K92&lt;($B$3+$B$4)*60,K92+Tableau14691215[[#This Row],[Durée_Corrigée]],K92)</f>
        <v>3170.4</v>
      </c>
      <c r="L93" s="3" t="str">
        <f t="shared" ref="L93:L96" si="255">IF(K92&gt;$C$3+$C$4,"",$B$8)</f>
        <v/>
      </c>
      <c r="M93" s="3" t="str">
        <f t="shared" ref="M93:M96" si="256">IF(K92&gt;$C$3+$C$4,"",$B$11)</f>
        <v/>
      </c>
    </row>
    <row r="94" spans="2:13" x14ac:dyDescent="0.25">
      <c r="B94" s="15"/>
      <c r="C94" s="3">
        <v>66</v>
      </c>
      <c r="D94" s="3" t="s">
        <v>7</v>
      </c>
      <c r="E94" s="3" t="str">
        <f>IF(K93&gt;$C$3+$C$4,"",Tableau14691215[[#This Row],[cumul_temps]]/60)</f>
        <v/>
      </c>
      <c r="F94" s="3" t="str">
        <f t="shared" ref="F94:F96" si="257">IF(K93&gt;$C$3+$C$4,"",60*$B$14)</f>
        <v/>
      </c>
      <c r="H94" s="13"/>
      <c r="I94" s="13"/>
      <c r="J94" s="13"/>
      <c r="K94" s="3">
        <f>IF(K93&lt;($B$3+$B$4)*60,K93+Tableau14691215[[#This Row],[duree_standard]],K93)</f>
        <v>3170.4</v>
      </c>
      <c r="L94" s="3" t="str">
        <f t="shared" ref="L94:L96" si="258">IF(K93&gt;$C$3+$C$4,"",$B$7)</f>
        <v/>
      </c>
      <c r="M94" s="3" t="str">
        <f t="shared" ref="M94:M96" si="259">IF(K93&gt;$C$3+$C$4,"",$B$10)</f>
        <v/>
      </c>
    </row>
    <row r="95" spans="2:13" x14ac:dyDescent="0.25">
      <c r="B95" s="15"/>
      <c r="C95" s="3">
        <v>67</v>
      </c>
      <c r="D95" s="3" t="s">
        <v>27</v>
      </c>
      <c r="E95" s="3" t="str">
        <f>IF(K94&gt;$C$3+$C$4,"",Tableau14691215[[#This Row],[cumul_temps]]/60)</f>
        <v/>
      </c>
      <c r="F95" s="3" t="str">
        <f t="shared" ref="F95:F96" si="260">IF(K94&gt;$C$3+$C$4,"",60*$B$13)</f>
        <v/>
      </c>
      <c r="G95" s="3" t="str">
        <f t="shared" ref="G95" si="261">IF(K94&gt;$C$3+$C$4,"",G93+1)</f>
        <v/>
      </c>
      <c r="H95" s="13" t="str">
        <f t="shared" ref="H95:H96" si="262">IF(K94&gt;$C$3+$C$4,"",(K94-$G$26)/$C$4)</f>
        <v/>
      </c>
      <c r="I95" s="13" t="str">
        <f>IF(K94&gt;$C$3+$C$4,"",ROUND(IF(Tableau14691215[[#This Row],[Temps_Ref]]&gt;0,($F$13*Tableau14691215[[#This Row],[Temps_Ref]]^4+$G$13*Tableau14691215[[#This Row],[Temps_Ref]]^3+$H$13*Tableau14691215[[#This Row],[Temps_Ref]]^2+$I$13)/$J$13,0),1))</f>
        <v/>
      </c>
      <c r="J95" s="3" t="str">
        <f>IF(K94&gt;$C$3+$C$4,"",Tableau14691215[[#This Row],[duree_standard]]*Tableau14691215[[#This Row],[Correction_DuréeEffortIntense]])</f>
        <v/>
      </c>
      <c r="K95" s="3">
        <f>IF(K94&lt;($B$3+$B$4)*60,K94+Tableau14691215[[#This Row],[Durée_Corrigée]],K94)</f>
        <v>3170.4</v>
      </c>
      <c r="L95" s="3" t="str">
        <f t="shared" ref="L95:L96" si="263">IF(K94&gt;$C$3+$C$4,"",$B$8)</f>
        <v/>
      </c>
      <c r="M95" s="3" t="str">
        <f t="shared" ref="M95:M96" si="264">IF(K94&gt;$C$3+$C$4,"",$B$11)</f>
        <v/>
      </c>
    </row>
    <row r="96" spans="2:13" x14ac:dyDescent="0.25">
      <c r="B96" s="16"/>
      <c r="C96" s="3">
        <v>68</v>
      </c>
      <c r="D96" s="3" t="s">
        <v>7</v>
      </c>
      <c r="E96" s="3" t="str">
        <f>IF(K95&gt;$C$3+$C$4,"",Tableau14691215[[#This Row],[cumul_temps]]/60)</f>
        <v/>
      </c>
      <c r="F96" s="3" t="str">
        <f t="shared" ref="F96" si="265">IF(K95&gt;$C$3+$C$4,"",60*$B$14)</f>
        <v/>
      </c>
      <c r="H96" s="13"/>
      <c r="I96" s="13"/>
      <c r="J96" s="13"/>
      <c r="K96" s="3">
        <f>IF(K95&lt;($B$3+$B$4)*60,K95+Tableau14691215[[#This Row],[duree_standard]],K95)</f>
        <v>3170.4</v>
      </c>
      <c r="L96" s="3" t="str">
        <f t="shared" ref="L96" si="266">IF(K95&gt;$C$3+$C$4,"",$B$7)</f>
        <v/>
      </c>
      <c r="M96" s="3" t="str">
        <f t="shared" ref="M96" si="267">IF(K95&gt;$C$3+$C$4,"",$B$10)</f>
        <v/>
      </c>
    </row>
    <row r="98" spans="2:10" x14ac:dyDescent="0.25">
      <c r="B98" s="14" t="s">
        <v>15</v>
      </c>
      <c r="C98" s="3" t="s">
        <v>0</v>
      </c>
      <c r="D98" s="3" t="s">
        <v>1</v>
      </c>
      <c r="E98" s="3" t="s">
        <v>2</v>
      </c>
      <c r="F98" s="3" t="s">
        <v>3</v>
      </c>
      <c r="G98" s="3" t="s">
        <v>22</v>
      </c>
      <c r="H98" s="3" t="s">
        <v>4</v>
      </c>
      <c r="I98" s="3" t="s">
        <v>5</v>
      </c>
      <c r="J98"/>
    </row>
    <row r="99" spans="2:10" x14ac:dyDescent="0.25">
      <c r="B99" s="15"/>
      <c r="C99" s="3">
        <v>1</v>
      </c>
      <c r="D99" s="3" t="s">
        <v>7</v>
      </c>
      <c r="E99" s="3">
        <f>$K$96/60</f>
        <v>52.84</v>
      </c>
      <c r="F99" s="3">
        <v>60</v>
      </c>
      <c r="G99" s="3">
        <f>$K$96+Tableau157101316[[#This Row],[duree_s]]</f>
        <v>3230.4</v>
      </c>
      <c r="H99" s="3">
        <f t="shared" ref="H99" si="268">$B$7</f>
        <v>5</v>
      </c>
      <c r="I99" s="3">
        <f t="shared" ref="I99" si="269">$B$10</f>
        <v>26</v>
      </c>
      <c r="J99"/>
    </row>
    <row r="100" spans="2:10" x14ac:dyDescent="0.25">
      <c r="B100" s="15"/>
      <c r="C100" s="3">
        <v>2</v>
      </c>
      <c r="D100" s="3" t="s">
        <v>24</v>
      </c>
      <c r="E100" s="3">
        <f>G99/60</f>
        <v>53.84</v>
      </c>
      <c r="F100" s="3">
        <v>60</v>
      </c>
      <c r="G100" s="3">
        <f>+G99+Tableau157101316[[#This Row],[duree_s]]</f>
        <v>3290.4</v>
      </c>
      <c r="H100" s="3">
        <f>ROUND($B$7+($B$8-$B$7)*2/3,0)</f>
        <v>8</v>
      </c>
      <c r="I100" s="3">
        <f>ROUND($B$10+($B$11-$B$10)*2/3,0)</f>
        <v>31</v>
      </c>
      <c r="J100"/>
    </row>
    <row r="101" spans="2:10" x14ac:dyDescent="0.25">
      <c r="B101" s="15"/>
      <c r="C101" s="3">
        <v>3</v>
      </c>
      <c r="D101" s="3" t="s">
        <v>7</v>
      </c>
      <c r="E101" s="3">
        <f t="shared" ref="E101:E105" si="270">G100/60</f>
        <v>54.84</v>
      </c>
      <c r="F101" s="3">
        <v>60</v>
      </c>
      <c r="G101" s="3">
        <f>+G100+Tableau157101316[[#This Row],[duree_s]]</f>
        <v>3350.4</v>
      </c>
      <c r="H101" s="3">
        <f t="shared" ref="H101" si="271">$B$7</f>
        <v>5</v>
      </c>
      <c r="I101" s="3">
        <f t="shared" ref="I101" si="272">$B$10</f>
        <v>26</v>
      </c>
      <c r="J101"/>
    </row>
    <row r="102" spans="2:10" x14ac:dyDescent="0.25">
      <c r="B102" s="15"/>
      <c r="C102" s="3">
        <v>6</v>
      </c>
      <c r="D102" s="3" t="s">
        <v>23</v>
      </c>
      <c r="E102" s="3">
        <f t="shared" si="270"/>
        <v>55.84</v>
      </c>
      <c r="F102" s="3">
        <v>60</v>
      </c>
      <c r="G102" s="3">
        <f>+G101+Tableau157101316[[#This Row],[duree_s]]</f>
        <v>3410.4</v>
      </c>
      <c r="H102" s="3">
        <f>ROUND($B$7+($B$8-$B$7)/3,0)</f>
        <v>7</v>
      </c>
      <c r="I102" s="3">
        <f>ROUND($B$10+($B$11-$B$10)*2/3,0)</f>
        <v>31</v>
      </c>
      <c r="J102"/>
    </row>
    <row r="103" spans="2:10" x14ac:dyDescent="0.25">
      <c r="B103" s="15"/>
      <c r="C103" s="3">
        <v>7</v>
      </c>
      <c r="D103" s="3" t="s">
        <v>7</v>
      </c>
      <c r="E103" s="3">
        <f t="shared" si="270"/>
        <v>56.84</v>
      </c>
      <c r="F103" s="3">
        <v>60</v>
      </c>
      <c r="G103" s="3">
        <f>+G102+Tableau157101316[[#This Row],[duree_s]]</f>
        <v>3470.4</v>
      </c>
      <c r="H103" s="3">
        <f t="shared" ref="H103" si="273">$B$7</f>
        <v>5</v>
      </c>
      <c r="I103" s="3">
        <f t="shared" ref="I103" si="274">$B$10</f>
        <v>26</v>
      </c>
      <c r="J103"/>
    </row>
    <row r="104" spans="2:10" x14ac:dyDescent="0.25">
      <c r="B104" s="15"/>
      <c r="C104" s="3">
        <v>8</v>
      </c>
      <c r="D104" s="3" t="s">
        <v>23</v>
      </c>
      <c r="E104" s="3">
        <f t="shared" si="270"/>
        <v>57.84</v>
      </c>
      <c r="F104" s="3">
        <v>60</v>
      </c>
      <c r="G104" s="3">
        <f>+G103+Tableau157101316[[#This Row],[duree_s]]</f>
        <v>3530.4</v>
      </c>
      <c r="H104" s="3">
        <f>$B$7</f>
        <v>5</v>
      </c>
      <c r="I104" s="3">
        <f>ROUND($B$10+($B$11-$B$10)/3,0)</f>
        <v>29</v>
      </c>
      <c r="J104"/>
    </row>
    <row r="105" spans="2:10" x14ac:dyDescent="0.25">
      <c r="B105" s="16"/>
      <c r="C105" s="3">
        <v>9</v>
      </c>
      <c r="D105" s="3" t="s">
        <v>7</v>
      </c>
      <c r="E105" s="3">
        <f t="shared" si="270"/>
        <v>58.84</v>
      </c>
      <c r="F105" s="3">
        <f>$D$1*60-G104</f>
        <v>69.599999999999909</v>
      </c>
      <c r="G105" s="3">
        <f>+G104+Tableau157101316[[#This Row],[duree_s]]</f>
        <v>3600</v>
      </c>
      <c r="H105" s="3">
        <v>2</v>
      </c>
      <c r="I105" s="3">
        <v>22</v>
      </c>
      <c r="J105"/>
    </row>
  </sheetData>
  <mergeCells count="4">
    <mergeCell ref="E11:J11"/>
    <mergeCell ref="B17:B26"/>
    <mergeCell ref="B28:B96"/>
    <mergeCell ref="B98:B105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71831-FFB3-4EA1-A925-EF662FEE397B}">
  <dimension ref="A1:M105"/>
  <sheetViews>
    <sheetView zoomScale="85" zoomScaleNormal="85" workbookViewId="0">
      <pane xSplit="3" ySplit="14" topLeftCell="D15" activePane="bottomRight" state="frozen"/>
      <selection pane="topRight" activeCell="D1" sqref="D1"/>
      <selection pane="bottomLeft" activeCell="A16" sqref="A16"/>
      <selection pane="bottomRight" activeCell="B12" sqref="B12"/>
    </sheetView>
  </sheetViews>
  <sheetFormatPr baseColWidth="10" defaultRowHeight="15" x14ac:dyDescent="0.25"/>
  <cols>
    <col min="1" max="1" width="38.85546875" bestFit="1" customWidth="1"/>
    <col min="2" max="2" width="15.140625" bestFit="1" customWidth="1"/>
    <col min="3" max="3" width="13.140625" style="3" bestFit="1" customWidth="1"/>
    <col min="4" max="4" width="15.140625" style="3" bestFit="1" customWidth="1"/>
    <col min="5" max="5" width="15.28515625" style="3" bestFit="1" customWidth="1"/>
    <col min="6" max="6" width="13.140625" style="3" bestFit="1" customWidth="1"/>
    <col min="7" max="7" width="25.42578125" style="3" bestFit="1" customWidth="1"/>
    <col min="8" max="8" width="23.7109375" style="3" bestFit="1" customWidth="1"/>
    <col min="9" max="9" width="15.140625" style="3" customWidth="1"/>
    <col min="10" max="10" width="19.85546875" style="3" bestFit="1" customWidth="1"/>
    <col min="11" max="12" width="18" bestFit="1" customWidth="1"/>
    <col min="13" max="13" width="9.5703125" bestFit="1" customWidth="1"/>
  </cols>
  <sheetData>
    <row r="1" spans="1:10" ht="18.75" x14ac:dyDescent="0.3">
      <c r="A1" s="2" t="s">
        <v>41</v>
      </c>
      <c r="B1" s="2">
        <v>75</v>
      </c>
      <c r="C1" s="4" t="s">
        <v>18</v>
      </c>
      <c r="D1" s="3">
        <f>IF($B$1&lt;25,25,IF($B$1&gt;75,75,$B$1))</f>
        <v>75</v>
      </c>
      <c r="E1" s="3">
        <f>$G$105/60</f>
        <v>75</v>
      </c>
    </row>
    <row r="2" spans="1:10" x14ac:dyDescent="0.25">
      <c r="A2" s="1" t="s">
        <v>14</v>
      </c>
      <c r="B2" s="1">
        <f>+D1*60</f>
        <v>4500</v>
      </c>
    </row>
    <row r="3" spans="1:10" x14ac:dyDescent="0.25">
      <c r="A3" s="1" t="s">
        <v>16</v>
      </c>
      <c r="B3" s="1">
        <f>10</f>
        <v>10</v>
      </c>
      <c r="C3" s="6">
        <f>+B3*60</f>
        <v>600</v>
      </c>
    </row>
    <row r="4" spans="1:10" x14ac:dyDescent="0.25">
      <c r="A4" s="1" t="s">
        <v>25</v>
      </c>
      <c r="B4" s="1">
        <f>+D1-(B3+B5)</f>
        <v>57</v>
      </c>
      <c r="C4" s="6">
        <f t="shared" ref="C4:C5" si="0">+B4*60</f>
        <v>3420</v>
      </c>
    </row>
    <row r="5" spans="1:10" x14ac:dyDescent="0.25">
      <c r="A5" s="1" t="s">
        <v>17</v>
      </c>
      <c r="B5" s="1">
        <v>8</v>
      </c>
      <c r="C5" s="6">
        <f t="shared" si="0"/>
        <v>480</v>
      </c>
    </row>
    <row r="6" spans="1:10" ht="18.75" x14ac:dyDescent="0.3">
      <c r="A6" s="2" t="s">
        <v>19</v>
      </c>
      <c r="B6" s="2">
        <v>8</v>
      </c>
    </row>
    <row r="7" spans="1:10" x14ac:dyDescent="0.25">
      <c r="A7" s="1" t="s">
        <v>8</v>
      </c>
      <c r="B7" s="1">
        <f>ROUND(2 + ($B$6-1)*6/9,0)</f>
        <v>7</v>
      </c>
    </row>
    <row r="8" spans="1:10" x14ac:dyDescent="0.25">
      <c r="A8" s="1" t="s">
        <v>9</v>
      </c>
      <c r="B8" s="1">
        <f>ROUND(6 + ($B$6-1)*10/9,0)</f>
        <v>14</v>
      </c>
    </row>
    <row r="9" spans="1:10" ht="18.75" x14ac:dyDescent="0.3">
      <c r="A9" s="2" t="s">
        <v>20</v>
      </c>
      <c r="B9" s="2">
        <v>8</v>
      </c>
    </row>
    <row r="10" spans="1:10" x14ac:dyDescent="0.25">
      <c r="A10" s="1" t="s">
        <v>10</v>
      </c>
      <c r="B10" s="1">
        <f>ROUND(22 + ($B$9-1)*6/9,0)</f>
        <v>27</v>
      </c>
    </row>
    <row r="11" spans="1:10" ht="15.75" x14ac:dyDescent="0.25">
      <c r="A11" s="1" t="s">
        <v>11</v>
      </c>
      <c r="B11" s="1">
        <f>ROUND(30 + ($B$9-1)*6/9,0)</f>
        <v>35</v>
      </c>
      <c r="E11" s="17" t="s">
        <v>40</v>
      </c>
      <c r="F11" s="18"/>
      <c r="G11" s="18"/>
      <c r="H11" s="18"/>
      <c r="I11" s="18"/>
      <c r="J11" s="19"/>
    </row>
    <row r="12" spans="1:10" ht="18.75" x14ac:dyDescent="0.3">
      <c r="A12" s="2" t="s">
        <v>12</v>
      </c>
      <c r="B12" s="2">
        <v>1</v>
      </c>
      <c r="C12" s="21" t="s">
        <v>42</v>
      </c>
      <c r="E12" s="7" t="s">
        <v>39</v>
      </c>
      <c r="F12" s="8" t="s">
        <v>33</v>
      </c>
      <c r="G12" s="8" t="s">
        <v>35</v>
      </c>
      <c r="H12" s="8" t="s">
        <v>36</v>
      </c>
      <c r="I12" s="8" t="s">
        <v>34</v>
      </c>
      <c r="J12" s="9" t="s">
        <v>37</v>
      </c>
    </row>
    <row r="13" spans="1:10" x14ac:dyDescent="0.25">
      <c r="A13" s="1" t="s">
        <v>32</v>
      </c>
      <c r="B13" s="5">
        <f>ROUND(((1-$C$13)*$B$12+10*$C$13-1)/9*$B$14,1)</f>
        <v>1</v>
      </c>
      <c r="C13" s="20">
        <v>2</v>
      </c>
      <c r="E13" s="10">
        <f>103/72</f>
        <v>1.4305555555555556</v>
      </c>
      <c r="F13" s="11">
        <v>425</v>
      </c>
      <c r="G13" s="11">
        <v>-1010</v>
      </c>
      <c r="H13" s="11">
        <v>603</v>
      </c>
      <c r="I13" s="11">
        <v>18</v>
      </c>
      <c r="J13" s="12">
        <v>36</v>
      </c>
    </row>
    <row r="14" spans="1:10" x14ac:dyDescent="0.25">
      <c r="A14" s="1" t="s">
        <v>21</v>
      </c>
      <c r="B14" s="5">
        <f>ROUND(0.5 + (B12-1)*2/9,1)</f>
        <v>0.5</v>
      </c>
    </row>
    <row r="15" spans="1:10" x14ac:dyDescent="0.25">
      <c r="A15" s="1"/>
      <c r="B15" s="1"/>
    </row>
    <row r="17" spans="2:13" x14ac:dyDescent="0.25">
      <c r="B17" s="14" t="s">
        <v>13</v>
      </c>
      <c r="C17" s="3" t="s">
        <v>0</v>
      </c>
      <c r="D17" s="3" t="s">
        <v>1</v>
      </c>
      <c r="E17" s="3" t="s">
        <v>2</v>
      </c>
      <c r="F17" s="3" t="s">
        <v>3</v>
      </c>
      <c r="G17" s="3" t="s">
        <v>22</v>
      </c>
      <c r="H17" s="3" t="s">
        <v>4</v>
      </c>
      <c r="I17" s="3" t="s">
        <v>5</v>
      </c>
      <c r="J17"/>
    </row>
    <row r="18" spans="2:13" x14ac:dyDescent="0.25">
      <c r="B18" s="15"/>
      <c r="C18" s="3">
        <v>1</v>
      </c>
      <c r="D18" s="3" t="s">
        <v>6</v>
      </c>
      <c r="E18" s="3">
        <v>0</v>
      </c>
      <c r="F18" s="3">
        <v>120</v>
      </c>
      <c r="G18" s="3">
        <f>+F18</f>
        <v>120</v>
      </c>
      <c r="H18" s="3">
        <v>2</v>
      </c>
      <c r="I18" s="3">
        <v>22</v>
      </c>
      <c r="J18"/>
    </row>
    <row r="19" spans="2:13" x14ac:dyDescent="0.25">
      <c r="B19" s="15"/>
      <c r="C19" s="3">
        <v>2</v>
      </c>
      <c r="D19" s="3" t="s">
        <v>23</v>
      </c>
      <c r="E19" s="3">
        <f>+G18/60</f>
        <v>2</v>
      </c>
      <c r="F19" s="3">
        <v>60</v>
      </c>
      <c r="G19" s="3">
        <f t="shared" ref="G19:G26" si="1">+G18+F19</f>
        <v>180</v>
      </c>
      <c r="H19" s="3">
        <f>$B$7</f>
        <v>7</v>
      </c>
      <c r="I19" s="3">
        <f>ROUND($B$10+($B$11-$B$10)/3,0)</f>
        <v>30</v>
      </c>
      <c r="J19"/>
    </row>
    <row r="20" spans="2:13" x14ac:dyDescent="0.25">
      <c r="B20" s="15"/>
      <c r="C20" s="3">
        <v>3</v>
      </c>
      <c r="D20" s="3" t="s">
        <v>7</v>
      </c>
      <c r="E20" s="3">
        <f t="shared" ref="E20:E26" si="2">+G19/60</f>
        <v>3</v>
      </c>
      <c r="F20" s="3">
        <v>60</v>
      </c>
      <c r="G20" s="3">
        <f t="shared" si="1"/>
        <v>240</v>
      </c>
      <c r="H20" s="3">
        <v>2</v>
      </c>
      <c r="I20" s="3">
        <v>22</v>
      </c>
      <c r="J20"/>
    </row>
    <row r="21" spans="2:13" x14ac:dyDescent="0.25">
      <c r="B21" s="15"/>
      <c r="C21" s="3">
        <v>4</v>
      </c>
      <c r="D21" s="3" t="s">
        <v>24</v>
      </c>
      <c r="E21" s="3">
        <f t="shared" si="2"/>
        <v>4</v>
      </c>
      <c r="F21" s="3">
        <v>60</v>
      </c>
      <c r="G21" s="3">
        <f t="shared" si="1"/>
        <v>300</v>
      </c>
      <c r="H21" s="3">
        <f>ROUND($B$7+($B$8-$B$7)/3,0)</f>
        <v>9</v>
      </c>
      <c r="I21" s="3">
        <f>ROUND($B$10+($B$11-$B$10)/3,0)</f>
        <v>30</v>
      </c>
      <c r="J21"/>
    </row>
    <row r="22" spans="2:13" x14ac:dyDescent="0.25">
      <c r="B22" s="15"/>
      <c r="C22" s="3">
        <v>5</v>
      </c>
      <c r="D22" s="3" t="s">
        <v>7</v>
      </c>
      <c r="E22" s="3">
        <f t="shared" si="2"/>
        <v>5</v>
      </c>
      <c r="F22" s="3">
        <v>60</v>
      </c>
      <c r="G22" s="3">
        <f t="shared" si="1"/>
        <v>360</v>
      </c>
      <c r="H22" s="3">
        <f t="shared" ref="H22" si="3">$B$7</f>
        <v>7</v>
      </c>
      <c r="I22" s="3">
        <f t="shared" ref="I22" si="4">$B$10</f>
        <v>27</v>
      </c>
      <c r="J22"/>
    </row>
    <row r="23" spans="2:13" x14ac:dyDescent="0.25">
      <c r="B23" s="15"/>
      <c r="C23" s="3">
        <v>6</v>
      </c>
      <c r="D23" s="3" t="s">
        <v>23</v>
      </c>
      <c r="E23" s="3">
        <f t="shared" si="2"/>
        <v>6</v>
      </c>
      <c r="F23" s="3">
        <v>60</v>
      </c>
      <c r="G23" s="3">
        <f t="shared" si="1"/>
        <v>420</v>
      </c>
      <c r="H23" s="3">
        <f>ROUND($B$7+($B$8-$B$7)/3,0)</f>
        <v>9</v>
      </c>
      <c r="I23" s="3">
        <f>ROUND($B$10+($B$11-$B$10)*2/3,0)</f>
        <v>32</v>
      </c>
      <c r="J23"/>
    </row>
    <row r="24" spans="2:13" x14ac:dyDescent="0.25">
      <c r="B24" s="15"/>
      <c r="C24" s="3">
        <v>7</v>
      </c>
      <c r="D24" s="3" t="s">
        <v>7</v>
      </c>
      <c r="E24" s="3">
        <f t="shared" si="2"/>
        <v>7</v>
      </c>
      <c r="F24" s="3">
        <v>60</v>
      </c>
      <c r="G24" s="3">
        <f t="shared" si="1"/>
        <v>480</v>
      </c>
      <c r="H24" s="3">
        <f t="shared" ref="H24" si="5">$B$7</f>
        <v>7</v>
      </c>
      <c r="I24" s="3">
        <f t="shared" ref="I24" si="6">$B$10</f>
        <v>27</v>
      </c>
      <c r="J24"/>
    </row>
    <row r="25" spans="2:13" x14ac:dyDescent="0.25">
      <c r="B25" s="15"/>
      <c r="C25" s="3">
        <v>8</v>
      </c>
      <c r="D25" s="3" t="s">
        <v>24</v>
      </c>
      <c r="E25" s="3">
        <f t="shared" si="2"/>
        <v>8</v>
      </c>
      <c r="F25" s="3">
        <v>60</v>
      </c>
      <c r="G25" s="3">
        <f t="shared" si="1"/>
        <v>540</v>
      </c>
      <c r="H25" s="3">
        <f>ROUND($B$7+($B$8-$B$7)*2/3,0)</f>
        <v>12</v>
      </c>
      <c r="I25" s="3">
        <f>ROUND($B$10+($B$11-$B$10)*2/3,0)</f>
        <v>32</v>
      </c>
      <c r="J25"/>
    </row>
    <row r="26" spans="2:13" x14ac:dyDescent="0.25">
      <c r="B26" s="16"/>
      <c r="C26" s="3">
        <v>9</v>
      </c>
      <c r="D26" s="3" t="s">
        <v>7</v>
      </c>
      <c r="E26" s="3">
        <f t="shared" si="2"/>
        <v>9</v>
      </c>
      <c r="F26" s="3">
        <v>60</v>
      </c>
      <c r="G26" s="3">
        <f t="shared" si="1"/>
        <v>600</v>
      </c>
      <c r="H26" s="3">
        <f t="shared" ref="H26" si="7">$B$7</f>
        <v>7</v>
      </c>
      <c r="I26" s="3">
        <f t="shared" ref="I26" si="8">$B$10</f>
        <v>27</v>
      </c>
      <c r="J26"/>
    </row>
    <row r="28" spans="2:13" ht="15" customHeight="1" x14ac:dyDescent="0.25">
      <c r="B28" s="14" t="s">
        <v>26</v>
      </c>
      <c r="C28" s="3" t="s">
        <v>0</v>
      </c>
      <c r="D28" s="3" t="s">
        <v>1</v>
      </c>
      <c r="E28" s="3" t="s">
        <v>2</v>
      </c>
      <c r="F28" s="3" t="s">
        <v>30</v>
      </c>
      <c r="G28" s="3" t="s">
        <v>28</v>
      </c>
      <c r="H28" s="3" t="s">
        <v>38</v>
      </c>
      <c r="I28" s="3" t="s">
        <v>29</v>
      </c>
      <c r="J28" s="3" t="s">
        <v>31</v>
      </c>
      <c r="K28" s="3" t="s">
        <v>22</v>
      </c>
      <c r="L28" s="3" t="s">
        <v>4</v>
      </c>
      <c r="M28" s="3" t="s">
        <v>5</v>
      </c>
    </row>
    <row r="29" spans="2:13" x14ac:dyDescent="0.25">
      <c r="B29" s="15"/>
      <c r="C29" s="3">
        <v>1</v>
      </c>
      <c r="D29" s="3" t="s">
        <v>27</v>
      </c>
      <c r="E29" s="3">
        <f>$G$26/60</f>
        <v>10</v>
      </c>
      <c r="F29" s="3">
        <f>60*$B$13</f>
        <v>60</v>
      </c>
      <c r="G29" s="3">
        <v>1</v>
      </c>
      <c r="H29" s="13">
        <v>0</v>
      </c>
      <c r="I29" s="13">
        <f>ROUND(($F$13*Tableau1469121518[[#This Row],[Temps_Ref]]^4+$G$13*Tableau1469121518[[#This Row],[Temps_Ref]]^3+$H$13*Tableau1469121518[[#This Row],[Temps_Ref]]^2+$I$13)/$J$13,1)</f>
        <v>0.5</v>
      </c>
      <c r="J29" s="3">
        <f>Tableau1469121518[[#This Row],[duree_standard]]*Tableau1469121518[[#This Row],[Correction_DuréeEffortIntense]]</f>
        <v>30</v>
      </c>
      <c r="K29" s="3">
        <f>$G$26+Tableau1469121518[[#This Row],[Durée_Corrigée]]</f>
        <v>630</v>
      </c>
      <c r="L29" s="3">
        <f>$B$8</f>
        <v>14</v>
      </c>
      <c r="M29" s="3">
        <f>$B$11</f>
        <v>35</v>
      </c>
    </row>
    <row r="30" spans="2:13" x14ac:dyDescent="0.25">
      <c r="B30" s="15"/>
      <c r="C30" s="3">
        <v>2</v>
      </c>
      <c r="D30" s="3" t="s">
        <v>7</v>
      </c>
      <c r="E30" s="3">
        <f>IF(K29&gt;$C$3+$C$4,"",Tableau1469121518[[#This Row],[cumul_temps]]/60)</f>
        <v>11</v>
      </c>
      <c r="F30" s="3">
        <f>IF(K29&gt;$C$3+$C$4,"",60*$B$14)</f>
        <v>30</v>
      </c>
      <c r="H30" s="13"/>
      <c r="I30" s="13"/>
      <c r="J30" s="13"/>
      <c r="K30" s="3">
        <f>IF(K29&lt;($B$3+$B$4)*60,K29+Tableau1469121518[[#This Row],[duree_standard]],K29)</f>
        <v>660</v>
      </c>
      <c r="L30" s="3">
        <f>IF(K29&gt;$C$3+$C$4,"",$B$7)</f>
        <v>7</v>
      </c>
      <c r="M30" s="3">
        <f>IF(K29&gt;$C$3+$C$4,"",$B$10)</f>
        <v>27</v>
      </c>
    </row>
    <row r="31" spans="2:13" x14ac:dyDescent="0.25">
      <c r="B31" s="15"/>
      <c r="C31" s="3">
        <v>3</v>
      </c>
      <c r="D31" s="3" t="s">
        <v>27</v>
      </c>
      <c r="E31" s="3">
        <f>IF(K30&gt;$C$3+$C$4,"",Tableau1469121518[[#This Row],[cumul_temps]]/60)</f>
        <v>11.5</v>
      </c>
      <c r="F31" s="3">
        <f>IF(K30&gt;$C$3+$C$4,"",60*$B$13)</f>
        <v>60</v>
      </c>
      <c r="G31" s="3">
        <f>IF(K30&gt;$C$3+$C$4,"",G29+1)</f>
        <v>2</v>
      </c>
      <c r="H31" s="13">
        <f>IF(K30&gt;$C$3+$C$4,"",(K30-$G$26)/$C$4)</f>
        <v>1.7543859649122806E-2</v>
      </c>
      <c r="I31" s="13">
        <f>IF(K30&gt;$C$3+$C$4,"",ROUND(IF(Tableau1469121518[[#This Row],[Temps_Ref]]&gt;0,($F$13*Tableau1469121518[[#This Row],[Temps_Ref]]^4+$G$13*Tableau1469121518[[#This Row],[Temps_Ref]]^3+$H$13*Tableau1469121518[[#This Row],[Temps_Ref]]^2+$I$13)/$J$13,0),1))</f>
        <v>0.5</v>
      </c>
      <c r="J31" s="3">
        <f>IF(K30&gt;$C$3+$C$4,"",Tableau1469121518[[#This Row],[duree_standard]]*Tableau1469121518[[#This Row],[Correction_DuréeEffortIntense]])</f>
        <v>30</v>
      </c>
      <c r="K31" s="3">
        <f>IF(K30&lt;($B$3+$B$4)*60,K30+Tableau1469121518[[#This Row],[Durée_Corrigée]],K30)</f>
        <v>690</v>
      </c>
      <c r="L31" s="3">
        <f>IF(K30&gt;$C$3+$C$4,"",$B$8)</f>
        <v>14</v>
      </c>
      <c r="M31" s="3">
        <f>IF(K30&gt;$C$3+$C$4,"",$B$11)</f>
        <v>35</v>
      </c>
    </row>
    <row r="32" spans="2:13" x14ac:dyDescent="0.25">
      <c r="B32" s="15"/>
      <c r="C32" s="3">
        <v>4</v>
      </c>
      <c r="D32" s="3" t="s">
        <v>7</v>
      </c>
      <c r="E32" s="3">
        <f>IF(K31&gt;$C$3+$C$4,"",Tableau1469121518[[#This Row],[cumul_temps]]/60)</f>
        <v>12</v>
      </c>
      <c r="F32" s="3">
        <f t="shared" ref="F32" si="9">IF(K31&gt;$C$3+$C$4,"",60*$B$14)</f>
        <v>30</v>
      </c>
      <c r="H32" s="13"/>
      <c r="I32" s="13"/>
      <c r="J32" s="13"/>
      <c r="K32" s="3">
        <f>IF(K31&lt;($B$3+$B$4)*60,K31+Tableau1469121518[[#This Row],[duree_standard]],K31)</f>
        <v>720</v>
      </c>
      <c r="L32" s="3">
        <f t="shared" ref="L32:L63" si="10">IF(K31&gt;$C$3+$C$4,"",$B$7)</f>
        <v>7</v>
      </c>
      <c r="M32" s="3">
        <f t="shared" ref="M32:M63" si="11">IF(K31&gt;$C$3+$C$4,"",$B$10)</f>
        <v>27</v>
      </c>
    </row>
    <row r="33" spans="2:13" x14ac:dyDescent="0.25">
      <c r="B33" s="15"/>
      <c r="C33" s="3">
        <v>5</v>
      </c>
      <c r="D33" s="3" t="s">
        <v>27</v>
      </c>
      <c r="E33" s="3">
        <f>IF(K32&gt;$C$3+$C$4,"",Tableau1469121518[[#This Row],[cumul_temps]]/60)</f>
        <v>12.5</v>
      </c>
      <c r="F33" s="3">
        <f t="shared" ref="F33" si="12">IF(K32&gt;$C$3+$C$4,"",60*$B$13)</f>
        <v>60</v>
      </c>
      <c r="G33" s="3">
        <f t="shared" ref="G33" si="13">IF(K32&gt;$C$3+$C$4,"",G31+1)</f>
        <v>3</v>
      </c>
      <c r="H33" s="13">
        <f t="shared" ref="H33" si="14">IF(K32&gt;$C$3+$C$4,"",(K32-$G$26)/$C$4)</f>
        <v>3.5087719298245612E-2</v>
      </c>
      <c r="I33" s="13">
        <f>IF(K32&gt;$C$3+$C$4,"",ROUND(IF(Tableau1469121518[[#This Row],[Temps_Ref]]&gt;0,($F$13*Tableau1469121518[[#This Row],[Temps_Ref]]^4+$G$13*Tableau1469121518[[#This Row],[Temps_Ref]]^3+$H$13*Tableau1469121518[[#This Row],[Temps_Ref]]^2+$I$13)/$J$13,0),1))</f>
        <v>0.5</v>
      </c>
      <c r="J33" s="3">
        <f>IF(K32&gt;$C$3+$C$4,"",Tableau1469121518[[#This Row],[duree_standard]]*Tableau1469121518[[#This Row],[Correction_DuréeEffortIntense]])</f>
        <v>30</v>
      </c>
      <c r="K33" s="3">
        <f>IF(K32&lt;($B$3+$B$4)*60,K32+Tableau1469121518[[#This Row],[Durée_Corrigée]],K32)</f>
        <v>750</v>
      </c>
      <c r="L33" s="3">
        <f t="shared" ref="L33:L64" si="15">IF(K32&gt;$C$3+$C$4,"",$B$8)</f>
        <v>14</v>
      </c>
      <c r="M33" s="3">
        <f t="shared" ref="M33:M64" si="16">IF(K32&gt;$C$3+$C$4,"",$B$11)</f>
        <v>35</v>
      </c>
    </row>
    <row r="34" spans="2:13" x14ac:dyDescent="0.25">
      <c r="B34" s="15"/>
      <c r="C34" s="3">
        <v>6</v>
      </c>
      <c r="D34" s="3" t="s">
        <v>7</v>
      </c>
      <c r="E34" s="3">
        <f>IF(K33&gt;$C$3+$C$4,"",Tableau1469121518[[#This Row],[cumul_temps]]/60)</f>
        <v>13</v>
      </c>
      <c r="F34" s="3">
        <f t="shared" ref="F34" si="17">IF(K33&gt;$C$3+$C$4,"",60*$B$14)</f>
        <v>30</v>
      </c>
      <c r="H34" s="13"/>
      <c r="I34" s="13"/>
      <c r="J34" s="13"/>
      <c r="K34" s="3">
        <f>IF(K33&lt;($B$3+$B$4)*60,K33+Tableau1469121518[[#This Row],[duree_standard]],K33)</f>
        <v>780</v>
      </c>
      <c r="L34" s="3">
        <f t="shared" ref="L34:L65" si="18">IF(K33&gt;$C$3+$C$4,"",$B$7)</f>
        <v>7</v>
      </c>
      <c r="M34" s="3">
        <f t="shared" ref="M34:M65" si="19">IF(K33&gt;$C$3+$C$4,"",$B$10)</f>
        <v>27</v>
      </c>
    </row>
    <row r="35" spans="2:13" x14ac:dyDescent="0.25">
      <c r="B35" s="15"/>
      <c r="C35" s="3">
        <v>7</v>
      </c>
      <c r="D35" s="3" t="s">
        <v>27</v>
      </c>
      <c r="E35" s="3">
        <f>IF(K34&gt;$C$3+$C$4,"",Tableau1469121518[[#This Row],[cumul_temps]]/60)</f>
        <v>13.5</v>
      </c>
      <c r="F35" s="3">
        <f t="shared" ref="F35" si="20">IF(K34&gt;$C$3+$C$4,"",60*$B$13)</f>
        <v>60</v>
      </c>
      <c r="G35" s="3">
        <f t="shared" ref="G35" si="21">IF(K34&gt;$C$3+$C$4,"",G33+1)</f>
        <v>4</v>
      </c>
      <c r="H35" s="13">
        <f t="shared" ref="H35" si="22">IF(K34&gt;$C$3+$C$4,"",(K34-$G$26)/$C$4)</f>
        <v>5.2631578947368418E-2</v>
      </c>
      <c r="I35" s="13">
        <f>IF(K34&gt;$C$3+$C$4,"",ROUND(IF(Tableau1469121518[[#This Row],[Temps_Ref]]&gt;0,($F$13*Tableau1469121518[[#This Row],[Temps_Ref]]^4+$G$13*Tableau1469121518[[#This Row],[Temps_Ref]]^3+$H$13*Tableau1469121518[[#This Row],[Temps_Ref]]^2+$I$13)/$J$13,0),1))</f>
        <v>0.5</v>
      </c>
      <c r="J35" s="3">
        <f>IF(K34&gt;$C$3+$C$4,"",Tableau1469121518[[#This Row],[duree_standard]]*Tableau1469121518[[#This Row],[Correction_DuréeEffortIntense]])</f>
        <v>30</v>
      </c>
      <c r="K35" s="3">
        <f>IF(K34&lt;($B$3+$B$4)*60,K34+Tableau1469121518[[#This Row],[Durée_Corrigée]],K34)</f>
        <v>810</v>
      </c>
      <c r="L35" s="3">
        <f t="shared" ref="L35:L66" si="23">IF(K34&gt;$C$3+$C$4,"",$B$8)</f>
        <v>14</v>
      </c>
      <c r="M35" s="3">
        <f t="shared" ref="M35:M66" si="24">IF(K34&gt;$C$3+$C$4,"",$B$11)</f>
        <v>35</v>
      </c>
    </row>
    <row r="36" spans="2:13" x14ac:dyDescent="0.25">
      <c r="B36" s="15"/>
      <c r="C36" s="3">
        <v>8</v>
      </c>
      <c r="D36" s="3" t="s">
        <v>7</v>
      </c>
      <c r="E36" s="3">
        <f>IF(K35&gt;$C$3+$C$4,"",Tableau1469121518[[#This Row],[cumul_temps]]/60)</f>
        <v>14</v>
      </c>
      <c r="F36" s="3">
        <f t="shared" ref="F36" si="25">IF(K35&gt;$C$3+$C$4,"",60*$B$14)</f>
        <v>30</v>
      </c>
      <c r="H36" s="13"/>
      <c r="I36" s="13"/>
      <c r="J36" s="13"/>
      <c r="K36" s="3">
        <f>IF(K35&lt;($B$3+$B$4)*60,K35+Tableau1469121518[[#This Row],[duree_standard]],K35)</f>
        <v>840</v>
      </c>
      <c r="L36" s="3">
        <f t="shared" ref="L36:L67" si="26">IF(K35&gt;$C$3+$C$4,"",$B$7)</f>
        <v>7</v>
      </c>
      <c r="M36" s="3">
        <f t="shared" ref="M36:M67" si="27">IF(K35&gt;$C$3+$C$4,"",$B$10)</f>
        <v>27</v>
      </c>
    </row>
    <row r="37" spans="2:13" x14ac:dyDescent="0.25">
      <c r="B37" s="15"/>
      <c r="C37" s="3">
        <v>9</v>
      </c>
      <c r="D37" s="3" t="s">
        <v>27</v>
      </c>
      <c r="E37" s="3">
        <f>IF(K36&gt;$C$3+$C$4,"",Tableau1469121518[[#This Row],[cumul_temps]]/60)</f>
        <v>14.6</v>
      </c>
      <c r="F37" s="3">
        <f t="shared" ref="F37" si="28">IF(K36&gt;$C$3+$C$4,"",60*$B$13)</f>
        <v>60</v>
      </c>
      <c r="G37" s="3">
        <f t="shared" ref="G37" si="29">IF(K36&gt;$C$3+$C$4,"",G35+1)</f>
        <v>5</v>
      </c>
      <c r="H37" s="13">
        <f t="shared" ref="H37" si="30">IF(K36&gt;$C$3+$C$4,"",(K36-$G$26)/$C$4)</f>
        <v>7.0175438596491224E-2</v>
      </c>
      <c r="I37" s="13">
        <f>IF(K36&gt;$C$3+$C$4,"",ROUND(IF(Tableau1469121518[[#This Row],[Temps_Ref]]&gt;0,($F$13*Tableau1469121518[[#This Row],[Temps_Ref]]^4+$G$13*Tableau1469121518[[#This Row],[Temps_Ref]]^3+$H$13*Tableau1469121518[[#This Row],[Temps_Ref]]^2+$I$13)/$J$13,0),1))</f>
        <v>0.6</v>
      </c>
      <c r="J37" s="3">
        <f>IF(K36&gt;$C$3+$C$4,"",Tableau1469121518[[#This Row],[duree_standard]]*Tableau1469121518[[#This Row],[Correction_DuréeEffortIntense]])</f>
        <v>36</v>
      </c>
      <c r="K37" s="3">
        <f>IF(K36&lt;($B$3+$B$4)*60,K36+Tableau1469121518[[#This Row],[Durée_Corrigée]],K36)</f>
        <v>876</v>
      </c>
      <c r="L37" s="3">
        <f t="shared" ref="L37:L68" si="31">IF(K36&gt;$C$3+$C$4,"",$B$8)</f>
        <v>14</v>
      </c>
      <c r="M37" s="3">
        <f t="shared" ref="M37:M68" si="32">IF(K36&gt;$C$3+$C$4,"",$B$11)</f>
        <v>35</v>
      </c>
    </row>
    <row r="38" spans="2:13" x14ac:dyDescent="0.25">
      <c r="B38" s="15"/>
      <c r="C38" s="3">
        <v>10</v>
      </c>
      <c r="D38" s="3" t="s">
        <v>7</v>
      </c>
      <c r="E38" s="3">
        <f>IF(K37&gt;$C$3+$C$4,"",Tableau1469121518[[#This Row],[cumul_temps]]/60)</f>
        <v>15.1</v>
      </c>
      <c r="F38" s="3">
        <f t="shared" ref="F38" si="33">IF(K37&gt;$C$3+$C$4,"",60*$B$14)</f>
        <v>30</v>
      </c>
      <c r="H38" s="13"/>
      <c r="I38" s="13"/>
      <c r="J38" s="13"/>
      <c r="K38" s="3">
        <f>IF(K37&lt;($B$3+$B$4)*60,K37+Tableau1469121518[[#This Row],[duree_standard]],K37)</f>
        <v>906</v>
      </c>
      <c r="L38" s="3">
        <f t="shared" ref="L38:L69" si="34">IF(K37&gt;$C$3+$C$4,"",$B$7)</f>
        <v>7</v>
      </c>
      <c r="M38" s="3">
        <f t="shared" ref="M38:M69" si="35">IF(K37&gt;$C$3+$C$4,"",$B$10)</f>
        <v>27</v>
      </c>
    </row>
    <row r="39" spans="2:13" x14ac:dyDescent="0.25">
      <c r="B39" s="15"/>
      <c r="C39" s="3">
        <v>11</v>
      </c>
      <c r="D39" s="3" t="s">
        <v>27</v>
      </c>
      <c r="E39" s="3">
        <f>IF(K38&gt;$C$3+$C$4,"",Tableau1469121518[[#This Row],[cumul_temps]]/60)</f>
        <v>15.7</v>
      </c>
      <c r="F39" s="3">
        <f t="shared" ref="F39" si="36">IF(K38&gt;$C$3+$C$4,"",60*$B$13)</f>
        <v>60</v>
      </c>
      <c r="G39" s="3">
        <f t="shared" ref="G39" si="37">IF(K38&gt;$C$3+$C$4,"",G37+1)</f>
        <v>6</v>
      </c>
      <c r="H39" s="13">
        <f t="shared" ref="H39" si="38">IF(K38&gt;$C$3+$C$4,"",(K38-$G$26)/$C$4)</f>
        <v>8.9473684210526316E-2</v>
      </c>
      <c r="I39" s="13">
        <f>IF(K38&gt;$C$3+$C$4,"",ROUND(IF(Tableau1469121518[[#This Row],[Temps_Ref]]&gt;0,($F$13*Tableau1469121518[[#This Row],[Temps_Ref]]^4+$G$13*Tableau1469121518[[#This Row],[Temps_Ref]]^3+$H$13*Tableau1469121518[[#This Row],[Temps_Ref]]^2+$I$13)/$J$13,0),1))</f>
        <v>0.6</v>
      </c>
      <c r="J39" s="3">
        <f>IF(K38&gt;$C$3+$C$4,"",Tableau1469121518[[#This Row],[duree_standard]]*Tableau1469121518[[#This Row],[Correction_DuréeEffortIntense]])</f>
        <v>36</v>
      </c>
      <c r="K39" s="3">
        <f>IF(K38&lt;($B$3+$B$4)*60,K38+Tableau1469121518[[#This Row],[Durée_Corrigée]],K38)</f>
        <v>942</v>
      </c>
      <c r="L39" s="3">
        <f t="shared" ref="L39:L70" si="39">IF(K38&gt;$C$3+$C$4,"",$B$8)</f>
        <v>14</v>
      </c>
      <c r="M39" s="3">
        <f t="shared" ref="M39:M70" si="40">IF(K38&gt;$C$3+$C$4,"",$B$11)</f>
        <v>35</v>
      </c>
    </row>
    <row r="40" spans="2:13" x14ac:dyDescent="0.25">
      <c r="B40" s="15"/>
      <c r="C40" s="3">
        <v>12</v>
      </c>
      <c r="D40" s="3" t="s">
        <v>7</v>
      </c>
      <c r="E40" s="3">
        <f>IF(K39&gt;$C$3+$C$4,"",Tableau1469121518[[#This Row],[cumul_temps]]/60)</f>
        <v>16.2</v>
      </c>
      <c r="F40" s="3">
        <f t="shared" ref="F40" si="41">IF(K39&gt;$C$3+$C$4,"",60*$B$14)</f>
        <v>30</v>
      </c>
      <c r="H40" s="13"/>
      <c r="I40" s="13"/>
      <c r="J40" s="13"/>
      <c r="K40" s="3">
        <f>IF(K39&lt;($B$3+$B$4)*60,K39+Tableau1469121518[[#This Row],[duree_standard]],K39)</f>
        <v>972</v>
      </c>
      <c r="L40" s="3">
        <f t="shared" ref="L40:L71" si="42">IF(K39&gt;$C$3+$C$4,"",$B$7)</f>
        <v>7</v>
      </c>
      <c r="M40" s="3">
        <f t="shared" ref="M40:M71" si="43">IF(K39&gt;$C$3+$C$4,"",$B$10)</f>
        <v>27</v>
      </c>
    </row>
    <row r="41" spans="2:13" x14ac:dyDescent="0.25">
      <c r="B41" s="15"/>
      <c r="C41" s="3">
        <v>13</v>
      </c>
      <c r="D41" s="3" t="s">
        <v>27</v>
      </c>
      <c r="E41" s="3">
        <f>IF(K40&gt;$C$3+$C$4,"",Tableau1469121518[[#This Row],[cumul_temps]]/60)</f>
        <v>16.899999999999999</v>
      </c>
      <c r="F41" s="3">
        <f t="shared" ref="F41" si="44">IF(K40&gt;$C$3+$C$4,"",60*$B$13)</f>
        <v>60</v>
      </c>
      <c r="G41" s="3">
        <f t="shared" ref="G41" si="45">IF(K40&gt;$C$3+$C$4,"",G39+1)</f>
        <v>7</v>
      </c>
      <c r="H41" s="13">
        <f t="shared" ref="H41" si="46">IF(K40&gt;$C$3+$C$4,"",(K40-$G$26)/$C$4)</f>
        <v>0.10877192982456141</v>
      </c>
      <c r="I41" s="13">
        <f>IF(K40&gt;$C$3+$C$4,"",ROUND(IF(Tableau1469121518[[#This Row],[Temps_Ref]]&gt;0,($F$13*Tableau1469121518[[#This Row],[Temps_Ref]]^4+$G$13*Tableau1469121518[[#This Row],[Temps_Ref]]^3+$H$13*Tableau1469121518[[#This Row],[Temps_Ref]]^2+$I$13)/$J$13,0),1))</f>
        <v>0.7</v>
      </c>
      <c r="J41" s="3">
        <f>IF(K40&gt;$C$3+$C$4,"",Tableau1469121518[[#This Row],[duree_standard]]*Tableau1469121518[[#This Row],[Correction_DuréeEffortIntense]])</f>
        <v>42</v>
      </c>
      <c r="K41" s="3">
        <f>IF(K40&lt;($B$3+$B$4)*60,K40+Tableau1469121518[[#This Row],[Durée_Corrigée]],K40)</f>
        <v>1014</v>
      </c>
      <c r="L41" s="3">
        <f t="shared" ref="L41:L72" si="47">IF(K40&gt;$C$3+$C$4,"",$B$8)</f>
        <v>14</v>
      </c>
      <c r="M41" s="3">
        <f t="shared" ref="M41:M72" si="48">IF(K40&gt;$C$3+$C$4,"",$B$11)</f>
        <v>35</v>
      </c>
    </row>
    <row r="42" spans="2:13" x14ac:dyDescent="0.25">
      <c r="B42" s="15"/>
      <c r="C42" s="3">
        <v>14</v>
      </c>
      <c r="D42" s="3" t="s">
        <v>7</v>
      </c>
      <c r="E42" s="3">
        <f>IF(K41&gt;$C$3+$C$4,"",Tableau1469121518[[#This Row],[cumul_temps]]/60)</f>
        <v>17.399999999999999</v>
      </c>
      <c r="F42" s="3">
        <f t="shared" ref="F42" si="49">IF(K41&gt;$C$3+$C$4,"",60*$B$14)</f>
        <v>30</v>
      </c>
      <c r="H42" s="13"/>
      <c r="I42" s="13"/>
      <c r="J42" s="13"/>
      <c r="K42" s="3">
        <f>IF(K41&lt;($B$3+$B$4)*60,K41+Tableau1469121518[[#This Row],[duree_standard]],K41)</f>
        <v>1044</v>
      </c>
      <c r="L42" s="3">
        <f t="shared" ref="L42:L73" si="50">IF(K41&gt;$C$3+$C$4,"",$B$7)</f>
        <v>7</v>
      </c>
      <c r="M42" s="3">
        <f t="shared" ref="M42:M73" si="51">IF(K41&gt;$C$3+$C$4,"",$B$10)</f>
        <v>27</v>
      </c>
    </row>
    <row r="43" spans="2:13" x14ac:dyDescent="0.25">
      <c r="B43" s="15"/>
      <c r="C43" s="3">
        <v>15</v>
      </c>
      <c r="D43" s="3" t="s">
        <v>27</v>
      </c>
      <c r="E43" s="3">
        <f>IF(K42&gt;$C$3+$C$4,"",Tableau1469121518[[#This Row],[cumul_temps]]/60)</f>
        <v>18.100000000000001</v>
      </c>
      <c r="F43" s="3">
        <f t="shared" ref="F43" si="52">IF(K42&gt;$C$3+$C$4,"",60*$B$13)</f>
        <v>60</v>
      </c>
      <c r="G43" s="3">
        <f t="shared" ref="G43" si="53">IF(K42&gt;$C$3+$C$4,"",G41+1)</f>
        <v>8</v>
      </c>
      <c r="H43" s="13">
        <f t="shared" ref="H43" si="54">IF(K42&gt;$C$3+$C$4,"",(K42-$G$26)/$C$4)</f>
        <v>0.12982456140350876</v>
      </c>
      <c r="I43" s="13">
        <f>IF(K42&gt;$C$3+$C$4,"",ROUND(IF(Tableau1469121518[[#This Row],[Temps_Ref]]&gt;0,($F$13*Tableau1469121518[[#This Row],[Temps_Ref]]^4+$G$13*Tableau1469121518[[#This Row],[Temps_Ref]]^3+$H$13*Tableau1469121518[[#This Row],[Temps_Ref]]^2+$I$13)/$J$13,0),1))</f>
        <v>0.7</v>
      </c>
      <c r="J43" s="3">
        <f>IF(K42&gt;$C$3+$C$4,"",Tableau1469121518[[#This Row],[duree_standard]]*Tableau1469121518[[#This Row],[Correction_DuréeEffortIntense]])</f>
        <v>42</v>
      </c>
      <c r="K43" s="3">
        <f>IF(K42&lt;($B$3+$B$4)*60,K42+Tableau1469121518[[#This Row],[Durée_Corrigée]],K42)</f>
        <v>1086</v>
      </c>
      <c r="L43" s="3">
        <f t="shared" ref="L43:L74" si="55">IF(K42&gt;$C$3+$C$4,"",$B$8)</f>
        <v>14</v>
      </c>
      <c r="M43" s="3">
        <f t="shared" ref="M43:M74" si="56">IF(K42&gt;$C$3+$C$4,"",$B$11)</f>
        <v>35</v>
      </c>
    </row>
    <row r="44" spans="2:13" x14ac:dyDescent="0.25">
      <c r="B44" s="15"/>
      <c r="C44" s="3">
        <v>16</v>
      </c>
      <c r="D44" s="3" t="s">
        <v>7</v>
      </c>
      <c r="E44" s="3">
        <f>IF(K43&gt;$C$3+$C$4,"",Tableau1469121518[[#This Row],[cumul_temps]]/60)</f>
        <v>18.600000000000001</v>
      </c>
      <c r="F44" s="3">
        <f t="shared" ref="F44" si="57">IF(K43&gt;$C$3+$C$4,"",60*$B$14)</f>
        <v>30</v>
      </c>
      <c r="H44" s="13"/>
      <c r="I44" s="13"/>
      <c r="J44" s="13"/>
      <c r="K44" s="3">
        <f>IF(K43&lt;($B$3+$B$4)*60,K43+Tableau1469121518[[#This Row],[duree_standard]],K43)</f>
        <v>1116</v>
      </c>
      <c r="L44" s="3">
        <f t="shared" ref="L44:L75" si="58">IF(K43&gt;$C$3+$C$4,"",$B$7)</f>
        <v>7</v>
      </c>
      <c r="M44" s="3">
        <f t="shared" ref="M44:M75" si="59">IF(K43&gt;$C$3+$C$4,"",$B$10)</f>
        <v>27</v>
      </c>
    </row>
    <row r="45" spans="2:13" x14ac:dyDescent="0.25">
      <c r="B45" s="15"/>
      <c r="C45" s="3">
        <v>17</v>
      </c>
      <c r="D45" s="3" t="s">
        <v>27</v>
      </c>
      <c r="E45" s="3">
        <f>IF(K44&gt;$C$3+$C$4,"",Tableau1469121518[[#This Row],[cumul_temps]]/60)</f>
        <v>19.399999999999999</v>
      </c>
      <c r="F45" s="3">
        <f t="shared" ref="F45" si="60">IF(K44&gt;$C$3+$C$4,"",60*$B$13)</f>
        <v>60</v>
      </c>
      <c r="G45" s="3">
        <f t="shared" ref="G45" si="61">IF(K44&gt;$C$3+$C$4,"",G43+1)</f>
        <v>9</v>
      </c>
      <c r="H45" s="13">
        <f t="shared" ref="H45" si="62">IF(K44&gt;$C$3+$C$4,"",(K44-$G$26)/$C$4)</f>
        <v>0.15087719298245614</v>
      </c>
      <c r="I45" s="13">
        <f>IF(K44&gt;$C$3+$C$4,"",ROUND(IF(Tableau1469121518[[#This Row],[Temps_Ref]]&gt;0,($F$13*Tableau1469121518[[#This Row],[Temps_Ref]]^4+$G$13*Tableau1469121518[[#This Row],[Temps_Ref]]^3+$H$13*Tableau1469121518[[#This Row],[Temps_Ref]]^2+$I$13)/$J$13,0),1))</f>
        <v>0.8</v>
      </c>
      <c r="J45" s="3">
        <f>IF(K44&gt;$C$3+$C$4,"",Tableau1469121518[[#This Row],[duree_standard]]*Tableau1469121518[[#This Row],[Correction_DuréeEffortIntense]])</f>
        <v>48</v>
      </c>
      <c r="K45" s="3">
        <f>IF(K44&lt;($B$3+$B$4)*60,K44+Tableau1469121518[[#This Row],[Durée_Corrigée]],K44)</f>
        <v>1164</v>
      </c>
      <c r="L45" s="3">
        <f t="shared" ref="L45:L76" si="63">IF(K44&gt;$C$3+$C$4,"",$B$8)</f>
        <v>14</v>
      </c>
      <c r="M45" s="3">
        <f t="shared" ref="M45:M76" si="64">IF(K44&gt;$C$3+$C$4,"",$B$11)</f>
        <v>35</v>
      </c>
    </row>
    <row r="46" spans="2:13" x14ac:dyDescent="0.25">
      <c r="B46" s="15"/>
      <c r="C46" s="3">
        <v>18</v>
      </c>
      <c r="D46" s="3" t="s">
        <v>7</v>
      </c>
      <c r="E46" s="3">
        <f>IF(K45&gt;$C$3+$C$4,"",Tableau1469121518[[#This Row],[cumul_temps]]/60)</f>
        <v>19.899999999999999</v>
      </c>
      <c r="F46" s="3">
        <f t="shared" ref="F46" si="65">IF(K45&gt;$C$3+$C$4,"",60*$B$14)</f>
        <v>30</v>
      </c>
      <c r="H46" s="13"/>
      <c r="I46" s="13"/>
      <c r="J46" s="13"/>
      <c r="K46" s="3">
        <f>IF(K45&lt;($B$3+$B$4)*60,K45+Tableau1469121518[[#This Row],[duree_standard]],K45)</f>
        <v>1194</v>
      </c>
      <c r="L46" s="3">
        <f t="shared" ref="L46:L77" si="66">IF(K45&gt;$C$3+$C$4,"",$B$7)</f>
        <v>7</v>
      </c>
      <c r="M46" s="3">
        <f t="shared" ref="M46:M77" si="67">IF(K45&gt;$C$3+$C$4,"",$B$10)</f>
        <v>27</v>
      </c>
    </row>
    <row r="47" spans="2:13" x14ac:dyDescent="0.25">
      <c r="B47" s="15"/>
      <c r="C47" s="3">
        <v>19</v>
      </c>
      <c r="D47" s="3" t="s">
        <v>27</v>
      </c>
      <c r="E47" s="3">
        <f>IF(K46&gt;$C$3+$C$4,"",Tableau1469121518[[#This Row],[cumul_temps]]/60)</f>
        <v>20.8</v>
      </c>
      <c r="F47" s="3">
        <f t="shared" ref="F47" si="68">IF(K46&gt;$C$3+$C$4,"",60*$B$13)</f>
        <v>60</v>
      </c>
      <c r="G47" s="3">
        <f t="shared" ref="G47" si="69">IF(K46&gt;$C$3+$C$4,"",G45+1)</f>
        <v>10</v>
      </c>
      <c r="H47" s="13">
        <f t="shared" ref="H47" si="70">IF(K46&gt;$C$3+$C$4,"",(K46-$G$26)/$C$4)</f>
        <v>0.1736842105263158</v>
      </c>
      <c r="I47" s="13">
        <f>IF(K46&gt;$C$3+$C$4,"",ROUND(IF(Tableau1469121518[[#This Row],[Temps_Ref]]&gt;0,($F$13*Tableau1469121518[[#This Row],[Temps_Ref]]^4+$G$13*Tableau1469121518[[#This Row],[Temps_Ref]]^3+$H$13*Tableau1469121518[[#This Row],[Temps_Ref]]^2+$I$13)/$J$13,0),1))</f>
        <v>0.9</v>
      </c>
      <c r="J47" s="3">
        <f>IF(K46&gt;$C$3+$C$4,"",Tableau1469121518[[#This Row],[duree_standard]]*Tableau1469121518[[#This Row],[Correction_DuréeEffortIntense]])</f>
        <v>54</v>
      </c>
      <c r="K47" s="3">
        <f>IF(K46&lt;($B$3+$B$4)*60,K46+Tableau1469121518[[#This Row],[Durée_Corrigée]],K46)</f>
        <v>1248</v>
      </c>
      <c r="L47" s="3">
        <f t="shared" ref="L47:L78" si="71">IF(K46&gt;$C$3+$C$4,"",$B$8)</f>
        <v>14</v>
      </c>
      <c r="M47" s="3">
        <f t="shared" ref="M47:M78" si="72">IF(K46&gt;$C$3+$C$4,"",$B$11)</f>
        <v>35</v>
      </c>
    </row>
    <row r="48" spans="2:13" x14ac:dyDescent="0.25">
      <c r="B48" s="15"/>
      <c r="C48" s="3">
        <v>20</v>
      </c>
      <c r="D48" s="3" t="s">
        <v>7</v>
      </c>
      <c r="E48" s="3">
        <f>IF(K47&gt;$C$3+$C$4,"",Tableau1469121518[[#This Row],[cumul_temps]]/60)</f>
        <v>21.3</v>
      </c>
      <c r="F48" s="3">
        <f t="shared" ref="F48" si="73">IF(K47&gt;$C$3+$C$4,"",60*$B$14)</f>
        <v>30</v>
      </c>
      <c r="H48" s="13"/>
      <c r="I48" s="13"/>
      <c r="J48" s="13"/>
      <c r="K48" s="3">
        <f>IF(K47&lt;($B$3+$B$4)*60,K47+Tableau1469121518[[#This Row],[duree_standard]],K47)</f>
        <v>1278</v>
      </c>
      <c r="L48" s="3">
        <f t="shared" ref="L48:L79" si="74">IF(K47&gt;$C$3+$C$4,"",$B$7)</f>
        <v>7</v>
      </c>
      <c r="M48" s="3">
        <f t="shared" ref="M48:M79" si="75">IF(K47&gt;$C$3+$C$4,"",$B$10)</f>
        <v>27</v>
      </c>
    </row>
    <row r="49" spans="2:13" x14ac:dyDescent="0.25">
      <c r="B49" s="15"/>
      <c r="C49" s="3">
        <v>21</v>
      </c>
      <c r="D49" s="3" t="s">
        <v>27</v>
      </c>
      <c r="E49" s="3">
        <f>IF(K48&gt;$C$3+$C$4,"",Tableau1469121518[[#This Row],[cumul_temps]]/60)</f>
        <v>22.3</v>
      </c>
      <c r="F49" s="3">
        <f t="shared" ref="F49" si="76">IF(K48&gt;$C$3+$C$4,"",60*$B$13)</f>
        <v>60</v>
      </c>
      <c r="G49" s="3">
        <f t="shared" ref="G49" si="77">IF(K48&gt;$C$3+$C$4,"",G47+1)</f>
        <v>11</v>
      </c>
      <c r="H49" s="13">
        <f t="shared" ref="H49" si="78">IF(K48&gt;$C$3+$C$4,"",(K48-$G$26)/$C$4)</f>
        <v>0.19824561403508772</v>
      </c>
      <c r="I49" s="13">
        <f>IF(K48&gt;$C$3+$C$4,"",ROUND(IF(Tableau1469121518[[#This Row],[Temps_Ref]]&gt;0,($F$13*Tableau1469121518[[#This Row],[Temps_Ref]]^4+$G$13*Tableau1469121518[[#This Row],[Temps_Ref]]^3+$H$13*Tableau1469121518[[#This Row],[Temps_Ref]]^2+$I$13)/$J$13,0),1))</f>
        <v>1</v>
      </c>
      <c r="J49" s="3">
        <f>IF(K48&gt;$C$3+$C$4,"",Tableau1469121518[[#This Row],[duree_standard]]*Tableau1469121518[[#This Row],[Correction_DuréeEffortIntense]])</f>
        <v>60</v>
      </c>
      <c r="K49" s="3">
        <f>IF(K48&lt;($B$3+$B$4)*60,K48+Tableau1469121518[[#This Row],[Durée_Corrigée]],K48)</f>
        <v>1338</v>
      </c>
      <c r="L49" s="3">
        <f t="shared" ref="L49:L96" si="79">IF(K48&gt;$C$3+$C$4,"",$B$8)</f>
        <v>14</v>
      </c>
      <c r="M49" s="3">
        <f t="shared" ref="M49:M96" si="80">IF(K48&gt;$C$3+$C$4,"",$B$11)</f>
        <v>35</v>
      </c>
    </row>
    <row r="50" spans="2:13" x14ac:dyDescent="0.25">
      <c r="B50" s="15"/>
      <c r="C50" s="3">
        <v>22</v>
      </c>
      <c r="D50" s="3" t="s">
        <v>7</v>
      </c>
      <c r="E50" s="3">
        <f>IF(K49&gt;$C$3+$C$4,"",Tableau1469121518[[#This Row],[cumul_temps]]/60)</f>
        <v>22.8</v>
      </c>
      <c r="F50" s="3">
        <f t="shared" ref="F50" si="81">IF(K49&gt;$C$3+$C$4,"",60*$B$14)</f>
        <v>30</v>
      </c>
      <c r="H50" s="13"/>
      <c r="I50" s="13"/>
      <c r="J50" s="13"/>
      <c r="K50" s="3">
        <f>IF(K49&lt;($B$3+$B$4)*60,K49+Tableau1469121518[[#This Row],[duree_standard]],K49)</f>
        <v>1368</v>
      </c>
      <c r="L50" s="3">
        <f t="shared" ref="L50:L96" si="82">IF(K49&gt;$C$3+$C$4,"",$B$7)</f>
        <v>7</v>
      </c>
      <c r="M50" s="3">
        <f t="shared" ref="M50:M96" si="83">IF(K49&gt;$C$3+$C$4,"",$B$10)</f>
        <v>27</v>
      </c>
    </row>
    <row r="51" spans="2:13" x14ac:dyDescent="0.25">
      <c r="B51" s="15"/>
      <c r="C51" s="3">
        <v>23</v>
      </c>
      <c r="D51" s="3" t="s">
        <v>27</v>
      </c>
      <c r="E51" s="3">
        <f>IF(K50&gt;$C$3+$C$4,"",Tableau1469121518[[#This Row],[cumul_temps]]/60)</f>
        <v>23.9</v>
      </c>
      <c r="F51" s="3">
        <f t="shared" ref="F51" si="84">IF(K50&gt;$C$3+$C$4,"",60*$B$13)</f>
        <v>60</v>
      </c>
      <c r="G51" s="3">
        <f t="shared" ref="G51" si="85">IF(K50&gt;$C$3+$C$4,"",G49+1)</f>
        <v>12</v>
      </c>
      <c r="H51" s="13">
        <f t="shared" ref="H51" si="86">IF(K50&gt;$C$3+$C$4,"",(K50-$G$26)/$C$4)</f>
        <v>0.22456140350877193</v>
      </c>
      <c r="I51" s="13">
        <f>IF(K50&gt;$C$3+$C$4,"",ROUND(IF(Tableau1469121518[[#This Row],[Temps_Ref]]&gt;0,($F$13*Tableau1469121518[[#This Row],[Temps_Ref]]^4+$G$13*Tableau1469121518[[#This Row],[Temps_Ref]]^3+$H$13*Tableau1469121518[[#This Row],[Temps_Ref]]^2+$I$13)/$J$13,0),1))</f>
        <v>1.1000000000000001</v>
      </c>
      <c r="J51" s="3">
        <f>IF(K50&gt;$C$3+$C$4,"",Tableau1469121518[[#This Row],[duree_standard]]*Tableau1469121518[[#This Row],[Correction_DuréeEffortIntense]])</f>
        <v>66</v>
      </c>
      <c r="K51" s="3">
        <f>IF(K50&lt;($B$3+$B$4)*60,K50+Tableau1469121518[[#This Row],[Durée_Corrigée]],K50)</f>
        <v>1434</v>
      </c>
      <c r="L51" s="3">
        <f t="shared" ref="L51:L96" si="87">IF(K50&gt;$C$3+$C$4,"",$B$8)</f>
        <v>14</v>
      </c>
      <c r="M51" s="3">
        <f t="shared" ref="M51:M96" si="88">IF(K50&gt;$C$3+$C$4,"",$B$11)</f>
        <v>35</v>
      </c>
    </row>
    <row r="52" spans="2:13" x14ac:dyDescent="0.25">
      <c r="B52" s="15"/>
      <c r="C52" s="3">
        <v>24</v>
      </c>
      <c r="D52" s="3" t="s">
        <v>7</v>
      </c>
      <c r="E52" s="3">
        <f>IF(K51&gt;$C$3+$C$4,"",Tableau1469121518[[#This Row],[cumul_temps]]/60)</f>
        <v>24.4</v>
      </c>
      <c r="F52" s="3">
        <f t="shared" ref="F52" si="89">IF(K51&gt;$C$3+$C$4,"",60*$B$14)</f>
        <v>30</v>
      </c>
      <c r="H52" s="13"/>
      <c r="I52" s="13"/>
      <c r="J52" s="13"/>
      <c r="K52" s="3">
        <f>IF(K51&lt;($B$3+$B$4)*60,K51+Tableau1469121518[[#This Row],[duree_standard]],K51)</f>
        <v>1464</v>
      </c>
      <c r="L52" s="3">
        <f t="shared" ref="L52:L96" si="90">IF(K51&gt;$C$3+$C$4,"",$B$7)</f>
        <v>7</v>
      </c>
      <c r="M52" s="3">
        <f t="shared" ref="M52:M96" si="91">IF(K51&gt;$C$3+$C$4,"",$B$10)</f>
        <v>27</v>
      </c>
    </row>
    <row r="53" spans="2:13" x14ac:dyDescent="0.25">
      <c r="B53" s="15"/>
      <c r="C53" s="3">
        <v>25</v>
      </c>
      <c r="D53" s="3" t="s">
        <v>27</v>
      </c>
      <c r="E53" s="3">
        <f>IF(K52&gt;$C$3+$C$4,"",Tableau1469121518[[#This Row],[cumul_temps]]/60)</f>
        <v>25.6</v>
      </c>
      <c r="F53" s="3">
        <f t="shared" ref="F53" si="92">IF(K52&gt;$C$3+$C$4,"",60*$B$13)</f>
        <v>60</v>
      </c>
      <c r="G53" s="3">
        <f t="shared" ref="G53" si="93">IF(K52&gt;$C$3+$C$4,"",G51+1)</f>
        <v>13</v>
      </c>
      <c r="H53" s="13">
        <f t="shared" ref="H53" si="94">IF(K52&gt;$C$3+$C$4,"",(K52-$G$26)/$C$4)</f>
        <v>0.25263157894736843</v>
      </c>
      <c r="I53" s="13">
        <f>IF(K52&gt;$C$3+$C$4,"",ROUND(IF(Tableau1469121518[[#This Row],[Temps_Ref]]&gt;0,($F$13*Tableau1469121518[[#This Row],[Temps_Ref]]^4+$G$13*Tableau1469121518[[#This Row],[Temps_Ref]]^3+$H$13*Tableau1469121518[[#This Row],[Temps_Ref]]^2+$I$13)/$J$13,0),1))</f>
        <v>1.2</v>
      </c>
      <c r="J53" s="3">
        <f>IF(K52&gt;$C$3+$C$4,"",Tableau1469121518[[#This Row],[duree_standard]]*Tableau1469121518[[#This Row],[Correction_DuréeEffortIntense]])</f>
        <v>72</v>
      </c>
      <c r="K53" s="3">
        <f>IF(K52&lt;($B$3+$B$4)*60,K52+Tableau1469121518[[#This Row],[Durée_Corrigée]],K52)</f>
        <v>1536</v>
      </c>
      <c r="L53" s="3">
        <f t="shared" ref="L53:L96" si="95">IF(K52&gt;$C$3+$C$4,"",$B$8)</f>
        <v>14</v>
      </c>
      <c r="M53" s="3">
        <f t="shared" ref="M53:M96" si="96">IF(K52&gt;$C$3+$C$4,"",$B$11)</f>
        <v>35</v>
      </c>
    </row>
    <row r="54" spans="2:13" x14ac:dyDescent="0.25">
      <c r="B54" s="15"/>
      <c r="C54" s="3">
        <v>26</v>
      </c>
      <c r="D54" s="3" t="s">
        <v>7</v>
      </c>
      <c r="E54" s="3">
        <f>IF(K53&gt;$C$3+$C$4,"",Tableau1469121518[[#This Row],[cumul_temps]]/60)</f>
        <v>26.1</v>
      </c>
      <c r="F54" s="3">
        <f t="shared" ref="F54" si="97">IF(K53&gt;$C$3+$C$4,"",60*$B$14)</f>
        <v>30</v>
      </c>
      <c r="H54" s="13"/>
      <c r="I54" s="13"/>
      <c r="J54" s="13"/>
      <c r="K54" s="3">
        <f>IF(K53&lt;($B$3+$B$4)*60,K53+Tableau1469121518[[#This Row],[duree_standard]],K53)</f>
        <v>1566</v>
      </c>
      <c r="L54" s="3">
        <f t="shared" ref="L54:L96" si="98">IF(K53&gt;$C$3+$C$4,"",$B$7)</f>
        <v>7</v>
      </c>
      <c r="M54" s="3">
        <f t="shared" ref="M54:M96" si="99">IF(K53&gt;$C$3+$C$4,"",$B$10)</f>
        <v>27</v>
      </c>
    </row>
    <row r="55" spans="2:13" x14ac:dyDescent="0.25">
      <c r="B55" s="15"/>
      <c r="C55" s="3">
        <v>27</v>
      </c>
      <c r="D55" s="3" t="s">
        <v>27</v>
      </c>
      <c r="E55" s="3">
        <f>IF(K54&gt;$C$3+$C$4,"",Tableau1469121518[[#This Row],[cumul_temps]]/60)</f>
        <v>27.4</v>
      </c>
      <c r="F55" s="3">
        <f t="shared" ref="F55" si="100">IF(K54&gt;$C$3+$C$4,"",60*$B$13)</f>
        <v>60</v>
      </c>
      <c r="G55" s="3">
        <f t="shared" ref="G55" si="101">IF(K54&gt;$C$3+$C$4,"",G53+1)</f>
        <v>14</v>
      </c>
      <c r="H55" s="13">
        <f t="shared" ref="H55" si="102">IF(K54&gt;$C$3+$C$4,"",(K54-$G$26)/$C$4)</f>
        <v>0.28245614035087718</v>
      </c>
      <c r="I55" s="13">
        <f>IF(K54&gt;$C$3+$C$4,"",ROUND(IF(Tableau1469121518[[#This Row],[Temps_Ref]]&gt;0,($F$13*Tableau1469121518[[#This Row],[Temps_Ref]]^4+$G$13*Tableau1469121518[[#This Row],[Temps_Ref]]^3+$H$13*Tableau1469121518[[#This Row],[Temps_Ref]]^2+$I$13)/$J$13,0),1))</f>
        <v>1.3</v>
      </c>
      <c r="J55" s="3">
        <f>IF(K54&gt;$C$3+$C$4,"",Tableau1469121518[[#This Row],[duree_standard]]*Tableau1469121518[[#This Row],[Correction_DuréeEffortIntense]])</f>
        <v>78</v>
      </c>
      <c r="K55" s="3">
        <f>IF(K54&lt;($B$3+$B$4)*60,K54+Tableau1469121518[[#This Row],[Durée_Corrigée]],K54)</f>
        <v>1644</v>
      </c>
      <c r="L55" s="3">
        <f t="shared" ref="L55:L96" si="103">IF(K54&gt;$C$3+$C$4,"",$B$8)</f>
        <v>14</v>
      </c>
      <c r="M55" s="3">
        <f t="shared" ref="M55:M96" si="104">IF(K54&gt;$C$3+$C$4,"",$B$11)</f>
        <v>35</v>
      </c>
    </row>
    <row r="56" spans="2:13" x14ac:dyDescent="0.25">
      <c r="B56" s="15"/>
      <c r="C56" s="3">
        <v>28</v>
      </c>
      <c r="D56" s="3" t="s">
        <v>7</v>
      </c>
      <c r="E56" s="3">
        <f>IF(K55&gt;$C$3+$C$4,"",Tableau1469121518[[#This Row],[cumul_temps]]/60)</f>
        <v>27.9</v>
      </c>
      <c r="F56" s="3">
        <f t="shared" ref="F56" si="105">IF(K55&gt;$C$3+$C$4,"",60*$B$14)</f>
        <v>30</v>
      </c>
      <c r="H56" s="13"/>
      <c r="I56" s="13"/>
      <c r="J56" s="13"/>
      <c r="K56" s="3">
        <f>IF(K55&lt;($B$3+$B$4)*60,K55+Tableau1469121518[[#This Row],[duree_standard]],K55)</f>
        <v>1674</v>
      </c>
      <c r="L56" s="3">
        <f t="shared" ref="L56:L96" si="106">IF(K55&gt;$C$3+$C$4,"",$B$7)</f>
        <v>7</v>
      </c>
      <c r="M56" s="3">
        <f t="shared" ref="M56:M96" si="107">IF(K55&gt;$C$3+$C$4,"",$B$10)</f>
        <v>27</v>
      </c>
    </row>
    <row r="57" spans="2:13" x14ac:dyDescent="0.25">
      <c r="B57" s="15"/>
      <c r="C57" s="3">
        <v>29</v>
      </c>
      <c r="D57" s="3" t="s">
        <v>27</v>
      </c>
      <c r="E57" s="3">
        <f>IF(K56&gt;$C$3+$C$4,"",Tableau1469121518[[#This Row],[cumul_temps]]/60)</f>
        <v>29.3</v>
      </c>
      <c r="F57" s="3">
        <f t="shared" ref="F57" si="108">IF(K56&gt;$C$3+$C$4,"",60*$B$13)</f>
        <v>60</v>
      </c>
      <c r="G57" s="3">
        <f t="shared" ref="G57" si="109">IF(K56&gt;$C$3+$C$4,"",G55+1)</f>
        <v>15</v>
      </c>
      <c r="H57" s="13">
        <f t="shared" ref="H57" si="110">IF(K56&gt;$C$3+$C$4,"",(K56-$G$26)/$C$4)</f>
        <v>0.31403508771929822</v>
      </c>
      <c r="I57" s="13">
        <f>IF(K56&gt;$C$3+$C$4,"",ROUND(IF(Tableau1469121518[[#This Row],[Temps_Ref]]&gt;0,($F$13*Tableau1469121518[[#This Row],[Temps_Ref]]^4+$G$13*Tableau1469121518[[#This Row],[Temps_Ref]]^3+$H$13*Tableau1469121518[[#This Row],[Temps_Ref]]^2+$I$13)/$J$13,0),1))</f>
        <v>1.4</v>
      </c>
      <c r="J57" s="3">
        <f>IF(K56&gt;$C$3+$C$4,"",Tableau1469121518[[#This Row],[duree_standard]]*Tableau1469121518[[#This Row],[Correction_DuréeEffortIntense]])</f>
        <v>84</v>
      </c>
      <c r="K57" s="3">
        <f>IF(K56&lt;($B$3+$B$4)*60,K56+Tableau1469121518[[#This Row],[Durée_Corrigée]],K56)</f>
        <v>1758</v>
      </c>
      <c r="L57" s="3">
        <f t="shared" ref="L57:L96" si="111">IF(K56&gt;$C$3+$C$4,"",$B$8)</f>
        <v>14</v>
      </c>
      <c r="M57" s="3">
        <f t="shared" ref="M57:M96" si="112">IF(K56&gt;$C$3+$C$4,"",$B$11)</f>
        <v>35</v>
      </c>
    </row>
    <row r="58" spans="2:13" x14ac:dyDescent="0.25">
      <c r="B58" s="15"/>
      <c r="C58" s="3">
        <v>30</v>
      </c>
      <c r="D58" s="3" t="s">
        <v>7</v>
      </c>
      <c r="E58" s="3">
        <f>IF(K57&gt;$C$3+$C$4,"",Tableau1469121518[[#This Row],[cumul_temps]]/60)</f>
        <v>29.8</v>
      </c>
      <c r="F58" s="3">
        <f t="shared" ref="F58" si="113">IF(K57&gt;$C$3+$C$4,"",60*$B$14)</f>
        <v>30</v>
      </c>
      <c r="H58" s="13"/>
      <c r="I58" s="13"/>
      <c r="J58" s="13"/>
      <c r="K58" s="3">
        <f>IF(K57&lt;($B$3+$B$4)*60,K57+Tableau1469121518[[#This Row],[duree_standard]],K57)</f>
        <v>1788</v>
      </c>
      <c r="L58" s="3">
        <f t="shared" ref="L58:L96" si="114">IF(K57&gt;$C$3+$C$4,"",$B$7)</f>
        <v>7</v>
      </c>
      <c r="M58" s="3">
        <f t="shared" ref="M58:M96" si="115">IF(K57&gt;$C$3+$C$4,"",$B$10)</f>
        <v>27</v>
      </c>
    </row>
    <row r="59" spans="2:13" x14ac:dyDescent="0.25">
      <c r="B59" s="15"/>
      <c r="C59" s="3">
        <v>31</v>
      </c>
      <c r="D59" s="3" t="s">
        <v>27</v>
      </c>
      <c r="E59" s="3">
        <f>IF(K58&gt;$C$3+$C$4,"",Tableau1469121518[[#This Row],[cumul_temps]]/60)</f>
        <v>31.3</v>
      </c>
      <c r="F59" s="3">
        <f t="shared" ref="F59" si="116">IF(K58&gt;$C$3+$C$4,"",60*$B$13)</f>
        <v>60</v>
      </c>
      <c r="G59" s="3">
        <f t="shared" ref="G59" si="117">IF(K58&gt;$C$3+$C$4,"",G57+1)</f>
        <v>16</v>
      </c>
      <c r="H59" s="13">
        <f t="shared" ref="H59" si="118">IF(K58&gt;$C$3+$C$4,"",(K58-$G$26)/$C$4)</f>
        <v>0.3473684210526316</v>
      </c>
      <c r="I59" s="13">
        <f>IF(K58&gt;$C$3+$C$4,"",ROUND(IF(Tableau1469121518[[#This Row],[Temps_Ref]]&gt;0,($F$13*Tableau1469121518[[#This Row],[Temps_Ref]]^4+$G$13*Tableau1469121518[[#This Row],[Temps_Ref]]^3+$H$13*Tableau1469121518[[#This Row],[Temps_Ref]]^2+$I$13)/$J$13,0),1))</f>
        <v>1.5</v>
      </c>
      <c r="J59" s="3">
        <f>IF(K58&gt;$C$3+$C$4,"",Tableau1469121518[[#This Row],[duree_standard]]*Tableau1469121518[[#This Row],[Correction_DuréeEffortIntense]])</f>
        <v>90</v>
      </c>
      <c r="K59" s="3">
        <f>IF(K58&lt;($B$3+$B$4)*60,K58+Tableau1469121518[[#This Row],[Durée_Corrigée]],K58)</f>
        <v>1878</v>
      </c>
      <c r="L59" s="3">
        <f t="shared" ref="L59:L96" si="119">IF(K58&gt;$C$3+$C$4,"",$B$8)</f>
        <v>14</v>
      </c>
      <c r="M59" s="3">
        <f t="shared" ref="M59:M96" si="120">IF(K58&gt;$C$3+$C$4,"",$B$11)</f>
        <v>35</v>
      </c>
    </row>
    <row r="60" spans="2:13" x14ac:dyDescent="0.25">
      <c r="B60" s="15"/>
      <c r="C60" s="3">
        <v>32</v>
      </c>
      <c r="D60" s="3" t="s">
        <v>7</v>
      </c>
      <c r="E60" s="3">
        <f>IF(K59&gt;$C$3+$C$4,"",Tableau1469121518[[#This Row],[cumul_temps]]/60)</f>
        <v>31.8</v>
      </c>
      <c r="F60" s="3">
        <f t="shared" ref="F60" si="121">IF(K59&gt;$C$3+$C$4,"",60*$B$14)</f>
        <v>30</v>
      </c>
      <c r="H60" s="13"/>
      <c r="I60" s="13"/>
      <c r="J60" s="13"/>
      <c r="K60" s="3">
        <f>IF(K59&lt;($B$3+$B$4)*60,K59+Tableau1469121518[[#This Row],[duree_standard]],K59)</f>
        <v>1908</v>
      </c>
      <c r="L60" s="3">
        <f t="shared" ref="L60:L96" si="122">IF(K59&gt;$C$3+$C$4,"",$B$7)</f>
        <v>7</v>
      </c>
      <c r="M60" s="3">
        <f t="shared" ref="M60:M96" si="123">IF(K59&gt;$C$3+$C$4,"",$B$10)</f>
        <v>27</v>
      </c>
    </row>
    <row r="61" spans="2:13" x14ac:dyDescent="0.25">
      <c r="B61" s="15"/>
      <c r="C61" s="3">
        <v>33</v>
      </c>
      <c r="D61" s="3" t="s">
        <v>27</v>
      </c>
      <c r="E61" s="3">
        <f>IF(K60&gt;$C$3+$C$4,"",Tableau1469121518[[#This Row],[cumul_temps]]/60)</f>
        <v>33.4</v>
      </c>
      <c r="F61" s="3">
        <f t="shared" ref="F61" si="124">IF(K60&gt;$C$3+$C$4,"",60*$B$13)</f>
        <v>60</v>
      </c>
      <c r="G61" s="3">
        <f t="shared" ref="G61" si="125">IF(K60&gt;$C$3+$C$4,"",G59+1)</f>
        <v>17</v>
      </c>
      <c r="H61" s="13">
        <f t="shared" ref="H61" si="126">IF(K60&gt;$C$3+$C$4,"",(K60-$G$26)/$C$4)</f>
        <v>0.38245614035087722</v>
      </c>
      <c r="I61" s="13">
        <f>IF(K60&gt;$C$3+$C$4,"",ROUND(IF(Tableau1469121518[[#This Row],[Temps_Ref]]&gt;0,($F$13*Tableau1469121518[[#This Row],[Temps_Ref]]^4+$G$13*Tableau1469121518[[#This Row],[Temps_Ref]]^3+$H$13*Tableau1469121518[[#This Row],[Temps_Ref]]^2+$I$13)/$J$13,0),1))</f>
        <v>1.6</v>
      </c>
      <c r="J61" s="3">
        <f>IF(K60&gt;$C$3+$C$4,"",Tableau1469121518[[#This Row],[duree_standard]]*Tableau1469121518[[#This Row],[Correction_DuréeEffortIntense]])</f>
        <v>96</v>
      </c>
      <c r="K61" s="3">
        <f>IF(K60&lt;($B$3+$B$4)*60,K60+Tableau1469121518[[#This Row],[Durée_Corrigée]],K60)</f>
        <v>2004</v>
      </c>
      <c r="L61" s="3">
        <f t="shared" ref="L61:L96" si="127">IF(K60&gt;$C$3+$C$4,"",$B$8)</f>
        <v>14</v>
      </c>
      <c r="M61" s="3">
        <f t="shared" ref="M61:M96" si="128">IF(K60&gt;$C$3+$C$4,"",$B$11)</f>
        <v>35</v>
      </c>
    </row>
    <row r="62" spans="2:13" x14ac:dyDescent="0.25">
      <c r="B62" s="15"/>
      <c r="C62" s="3">
        <v>34</v>
      </c>
      <c r="D62" s="3" t="s">
        <v>7</v>
      </c>
      <c r="E62" s="3">
        <f>IF(K61&gt;$C$3+$C$4,"",Tableau1469121518[[#This Row],[cumul_temps]]/60)</f>
        <v>33.9</v>
      </c>
      <c r="F62" s="3">
        <f t="shared" ref="F62" si="129">IF(K61&gt;$C$3+$C$4,"",60*$B$14)</f>
        <v>30</v>
      </c>
      <c r="H62" s="13"/>
      <c r="I62" s="13"/>
      <c r="J62" s="13"/>
      <c r="K62" s="3">
        <f>IF(K61&lt;($B$3+$B$4)*60,K61+Tableau1469121518[[#This Row],[duree_standard]],K61)</f>
        <v>2034</v>
      </c>
      <c r="L62" s="3">
        <f t="shared" ref="L62:L96" si="130">IF(K61&gt;$C$3+$C$4,"",$B$7)</f>
        <v>7</v>
      </c>
      <c r="M62" s="3">
        <f t="shared" ref="M62:M96" si="131">IF(K61&gt;$C$3+$C$4,"",$B$10)</f>
        <v>27</v>
      </c>
    </row>
    <row r="63" spans="2:13" x14ac:dyDescent="0.25">
      <c r="B63" s="15"/>
      <c r="C63" s="3">
        <v>35</v>
      </c>
      <c r="D63" s="3" t="s">
        <v>27</v>
      </c>
      <c r="E63" s="3">
        <f>IF(K62&gt;$C$3+$C$4,"",Tableau1469121518[[#This Row],[cumul_temps]]/60)</f>
        <v>35.6</v>
      </c>
      <c r="F63" s="3">
        <f t="shared" ref="F63" si="132">IF(K62&gt;$C$3+$C$4,"",60*$B$13)</f>
        <v>60</v>
      </c>
      <c r="G63" s="3">
        <f t="shared" ref="G63" si="133">IF(K62&gt;$C$3+$C$4,"",G61+1)</f>
        <v>18</v>
      </c>
      <c r="H63" s="13">
        <f t="shared" ref="H63" si="134">IF(K62&gt;$C$3+$C$4,"",(K62-$G$26)/$C$4)</f>
        <v>0.41929824561403511</v>
      </c>
      <c r="I63" s="13">
        <f>IF(K62&gt;$C$3+$C$4,"",ROUND(IF(Tableau1469121518[[#This Row],[Temps_Ref]]&gt;0,($F$13*Tableau1469121518[[#This Row],[Temps_Ref]]^4+$G$13*Tableau1469121518[[#This Row],[Temps_Ref]]^3+$H$13*Tableau1469121518[[#This Row],[Temps_Ref]]^2+$I$13)/$J$13,0),1))</f>
        <v>1.7</v>
      </c>
      <c r="J63" s="3">
        <f>IF(K62&gt;$C$3+$C$4,"",Tableau1469121518[[#This Row],[duree_standard]]*Tableau1469121518[[#This Row],[Correction_DuréeEffortIntense]])</f>
        <v>102</v>
      </c>
      <c r="K63" s="3">
        <f>IF(K62&lt;($B$3+$B$4)*60,K62+Tableau1469121518[[#This Row],[Durée_Corrigée]],K62)</f>
        <v>2136</v>
      </c>
      <c r="L63" s="3">
        <f t="shared" ref="L63:L96" si="135">IF(K62&gt;$C$3+$C$4,"",$B$8)</f>
        <v>14</v>
      </c>
      <c r="M63" s="3">
        <f t="shared" ref="M63:M96" si="136">IF(K62&gt;$C$3+$C$4,"",$B$11)</f>
        <v>35</v>
      </c>
    </row>
    <row r="64" spans="2:13" x14ac:dyDescent="0.25">
      <c r="B64" s="15"/>
      <c r="C64" s="3">
        <v>36</v>
      </c>
      <c r="D64" s="3" t="s">
        <v>7</v>
      </c>
      <c r="E64" s="3">
        <f>IF(K63&gt;$C$3+$C$4,"",Tableau1469121518[[#This Row],[cumul_temps]]/60)</f>
        <v>36.1</v>
      </c>
      <c r="F64" s="3">
        <f t="shared" ref="F64" si="137">IF(K63&gt;$C$3+$C$4,"",60*$B$14)</f>
        <v>30</v>
      </c>
      <c r="H64" s="13"/>
      <c r="I64" s="13"/>
      <c r="J64" s="13"/>
      <c r="K64" s="3">
        <f>IF(K63&lt;($B$3+$B$4)*60,K63+Tableau1469121518[[#This Row],[duree_standard]],K63)</f>
        <v>2166</v>
      </c>
      <c r="L64" s="3">
        <f t="shared" ref="L64:L96" si="138">IF(K63&gt;$C$3+$C$4,"",$B$7)</f>
        <v>7</v>
      </c>
      <c r="M64" s="3">
        <f t="shared" ref="M64:M96" si="139">IF(K63&gt;$C$3+$C$4,"",$B$10)</f>
        <v>27</v>
      </c>
    </row>
    <row r="65" spans="2:13" x14ac:dyDescent="0.25">
      <c r="B65" s="15"/>
      <c r="C65" s="3">
        <v>37</v>
      </c>
      <c r="D65" s="3" t="s">
        <v>27</v>
      </c>
      <c r="E65" s="3">
        <f>IF(K64&gt;$C$3+$C$4,"",Tableau1469121518[[#This Row],[cumul_temps]]/60)</f>
        <v>37.9</v>
      </c>
      <c r="F65" s="3">
        <f t="shared" ref="F65" si="140">IF(K64&gt;$C$3+$C$4,"",60*$B$13)</f>
        <v>60</v>
      </c>
      <c r="G65" s="3">
        <f t="shared" ref="G65" si="141">IF(K64&gt;$C$3+$C$4,"",G63+1)</f>
        <v>19</v>
      </c>
      <c r="H65" s="13">
        <f t="shared" ref="H65" si="142">IF(K64&gt;$C$3+$C$4,"",(K64-$G$26)/$C$4)</f>
        <v>0.45789473684210524</v>
      </c>
      <c r="I65" s="13">
        <f>IF(K64&gt;$C$3+$C$4,"",ROUND(IF(Tableau1469121518[[#This Row],[Temps_Ref]]&gt;0,($F$13*Tableau1469121518[[#This Row],[Temps_Ref]]^4+$G$13*Tableau1469121518[[#This Row],[Temps_Ref]]^3+$H$13*Tableau1469121518[[#This Row],[Temps_Ref]]^2+$I$13)/$J$13,0),1))</f>
        <v>1.8</v>
      </c>
      <c r="J65" s="3">
        <f>IF(K64&gt;$C$3+$C$4,"",Tableau1469121518[[#This Row],[duree_standard]]*Tableau1469121518[[#This Row],[Correction_DuréeEffortIntense]])</f>
        <v>108</v>
      </c>
      <c r="K65" s="3">
        <f>IF(K64&lt;($B$3+$B$4)*60,K64+Tableau1469121518[[#This Row],[Durée_Corrigée]],K64)</f>
        <v>2274</v>
      </c>
      <c r="L65" s="3">
        <f t="shared" ref="L65:L96" si="143">IF(K64&gt;$C$3+$C$4,"",$B$8)</f>
        <v>14</v>
      </c>
      <c r="M65" s="3">
        <f t="shared" ref="M65:M96" si="144">IF(K64&gt;$C$3+$C$4,"",$B$11)</f>
        <v>35</v>
      </c>
    </row>
    <row r="66" spans="2:13" x14ac:dyDescent="0.25">
      <c r="B66" s="15"/>
      <c r="C66" s="3">
        <v>38</v>
      </c>
      <c r="D66" s="3" t="s">
        <v>7</v>
      </c>
      <c r="E66" s="3">
        <f>IF(K65&gt;$C$3+$C$4,"",Tableau1469121518[[#This Row],[cumul_temps]]/60)</f>
        <v>38.4</v>
      </c>
      <c r="F66" s="3">
        <f t="shared" ref="F66" si="145">IF(K65&gt;$C$3+$C$4,"",60*$B$14)</f>
        <v>30</v>
      </c>
      <c r="H66" s="13"/>
      <c r="I66" s="13"/>
      <c r="J66" s="13"/>
      <c r="K66" s="3">
        <f>IF(K65&lt;($B$3+$B$4)*60,K65+Tableau1469121518[[#This Row],[duree_standard]],K65)</f>
        <v>2304</v>
      </c>
      <c r="L66" s="3">
        <f t="shared" ref="L66:L96" si="146">IF(K65&gt;$C$3+$C$4,"",$B$7)</f>
        <v>7</v>
      </c>
      <c r="M66" s="3">
        <f t="shared" ref="M66:M96" si="147">IF(K65&gt;$C$3+$C$4,"",$B$10)</f>
        <v>27</v>
      </c>
    </row>
    <row r="67" spans="2:13" x14ac:dyDescent="0.25">
      <c r="B67" s="15"/>
      <c r="C67" s="3">
        <v>39</v>
      </c>
      <c r="D67" s="3" t="s">
        <v>27</v>
      </c>
      <c r="E67" s="3">
        <f>IF(K66&gt;$C$3+$C$4,"",Tableau1469121518[[#This Row],[cumul_temps]]/60)</f>
        <v>40.299999999999997</v>
      </c>
      <c r="F67" s="3">
        <f t="shared" ref="F67" si="148">IF(K66&gt;$C$3+$C$4,"",60*$B$13)</f>
        <v>60</v>
      </c>
      <c r="G67" s="3">
        <f t="shared" ref="G67" si="149">IF(K66&gt;$C$3+$C$4,"",G65+1)</f>
        <v>20</v>
      </c>
      <c r="H67" s="13">
        <f t="shared" ref="H67" si="150">IF(K66&gt;$C$3+$C$4,"",(K66-$G$26)/$C$4)</f>
        <v>0.49824561403508771</v>
      </c>
      <c r="I67" s="13">
        <f>IF(K66&gt;$C$3+$C$4,"",ROUND(IF(Tableau1469121518[[#This Row],[Temps_Ref]]&gt;0,($F$13*Tableau1469121518[[#This Row],[Temps_Ref]]^4+$G$13*Tableau1469121518[[#This Row],[Temps_Ref]]^3+$H$13*Tableau1469121518[[#This Row],[Temps_Ref]]^2+$I$13)/$J$13,0),1))</f>
        <v>1.9</v>
      </c>
      <c r="J67" s="3">
        <f>IF(K66&gt;$C$3+$C$4,"",Tableau1469121518[[#This Row],[duree_standard]]*Tableau1469121518[[#This Row],[Correction_DuréeEffortIntense]])</f>
        <v>114</v>
      </c>
      <c r="K67" s="3">
        <f>IF(K66&lt;($B$3+$B$4)*60,K66+Tableau1469121518[[#This Row],[Durée_Corrigée]],K66)</f>
        <v>2418</v>
      </c>
      <c r="L67" s="3">
        <f t="shared" ref="L67:L96" si="151">IF(K66&gt;$C$3+$C$4,"",$B$8)</f>
        <v>14</v>
      </c>
      <c r="M67" s="3">
        <f t="shared" ref="M67:M96" si="152">IF(K66&gt;$C$3+$C$4,"",$B$11)</f>
        <v>35</v>
      </c>
    </row>
    <row r="68" spans="2:13" x14ac:dyDescent="0.25">
      <c r="B68" s="15"/>
      <c r="C68" s="3">
        <v>40</v>
      </c>
      <c r="D68" s="3" t="s">
        <v>7</v>
      </c>
      <c r="E68" s="3">
        <f>IF(K67&gt;$C$3+$C$4,"",Tableau1469121518[[#This Row],[cumul_temps]]/60)</f>
        <v>40.799999999999997</v>
      </c>
      <c r="F68" s="3">
        <f t="shared" ref="F68" si="153">IF(K67&gt;$C$3+$C$4,"",60*$B$14)</f>
        <v>30</v>
      </c>
      <c r="H68" s="13"/>
      <c r="I68" s="13"/>
      <c r="J68" s="13"/>
      <c r="K68" s="3">
        <f>IF(K67&lt;($B$3+$B$4)*60,K67+Tableau1469121518[[#This Row],[duree_standard]],K67)</f>
        <v>2448</v>
      </c>
      <c r="L68" s="3">
        <f t="shared" ref="L68:L96" si="154">IF(K67&gt;$C$3+$C$4,"",$B$7)</f>
        <v>7</v>
      </c>
      <c r="M68" s="3">
        <f t="shared" ref="M68:M96" si="155">IF(K67&gt;$C$3+$C$4,"",$B$10)</f>
        <v>27</v>
      </c>
    </row>
    <row r="69" spans="2:13" x14ac:dyDescent="0.25">
      <c r="B69" s="15"/>
      <c r="C69" s="3">
        <v>41</v>
      </c>
      <c r="D69" s="3" t="s">
        <v>27</v>
      </c>
      <c r="E69" s="3">
        <f>IF(K68&gt;$C$3+$C$4,"",Tableau1469121518[[#This Row],[cumul_temps]]/60)</f>
        <v>42.8</v>
      </c>
      <c r="F69" s="3">
        <f t="shared" ref="F69" si="156">IF(K68&gt;$C$3+$C$4,"",60*$B$13)</f>
        <v>60</v>
      </c>
      <c r="G69" s="3">
        <f t="shared" ref="G69" si="157">IF(K68&gt;$C$3+$C$4,"",G67+1)</f>
        <v>21</v>
      </c>
      <c r="H69" s="13">
        <f t="shared" ref="H69" si="158">IF(K68&gt;$C$3+$C$4,"",(K68-$G$26)/$C$4)</f>
        <v>0.54035087719298247</v>
      </c>
      <c r="I69" s="13">
        <f>IF(K68&gt;$C$3+$C$4,"",ROUND(IF(Tableau1469121518[[#This Row],[Temps_Ref]]&gt;0,($F$13*Tableau1469121518[[#This Row],[Temps_Ref]]^4+$G$13*Tableau1469121518[[#This Row],[Temps_Ref]]^3+$H$13*Tableau1469121518[[#This Row],[Temps_Ref]]^2+$I$13)/$J$13,0),1))</f>
        <v>2</v>
      </c>
      <c r="J69" s="3">
        <f>IF(K68&gt;$C$3+$C$4,"",Tableau1469121518[[#This Row],[duree_standard]]*Tableau1469121518[[#This Row],[Correction_DuréeEffortIntense]])</f>
        <v>120</v>
      </c>
      <c r="K69" s="3">
        <f>IF(K68&lt;($B$3+$B$4)*60,K68+Tableau1469121518[[#This Row],[Durée_Corrigée]],K68)</f>
        <v>2568</v>
      </c>
      <c r="L69" s="3">
        <f t="shared" ref="L69:L96" si="159">IF(K68&gt;$C$3+$C$4,"",$B$8)</f>
        <v>14</v>
      </c>
      <c r="M69" s="3">
        <f t="shared" ref="M69:M96" si="160">IF(K68&gt;$C$3+$C$4,"",$B$11)</f>
        <v>35</v>
      </c>
    </row>
    <row r="70" spans="2:13" x14ac:dyDescent="0.25">
      <c r="B70" s="15"/>
      <c r="C70" s="3">
        <v>42</v>
      </c>
      <c r="D70" s="3" t="s">
        <v>7</v>
      </c>
      <c r="E70" s="3">
        <f>IF(K69&gt;$C$3+$C$4,"",Tableau1469121518[[#This Row],[cumul_temps]]/60)</f>
        <v>43.3</v>
      </c>
      <c r="F70" s="3">
        <f t="shared" ref="F70" si="161">IF(K69&gt;$C$3+$C$4,"",60*$B$14)</f>
        <v>30</v>
      </c>
      <c r="H70" s="13"/>
      <c r="I70" s="13"/>
      <c r="J70" s="13"/>
      <c r="K70" s="3">
        <f>IF(K69&lt;($B$3+$B$4)*60,K69+Tableau1469121518[[#This Row],[duree_standard]],K69)</f>
        <v>2598</v>
      </c>
      <c r="L70" s="3">
        <f t="shared" ref="L70:L96" si="162">IF(K69&gt;$C$3+$C$4,"",$B$7)</f>
        <v>7</v>
      </c>
      <c r="M70" s="3">
        <f t="shared" ref="M70:M96" si="163">IF(K69&gt;$C$3+$C$4,"",$B$10)</f>
        <v>27</v>
      </c>
    </row>
    <row r="71" spans="2:13" x14ac:dyDescent="0.25">
      <c r="B71" s="15"/>
      <c r="C71" s="3">
        <v>43</v>
      </c>
      <c r="D71" s="3" t="s">
        <v>27</v>
      </c>
      <c r="E71" s="3">
        <f>IF(K70&gt;$C$3+$C$4,"",Tableau1469121518[[#This Row],[cumul_temps]]/60)</f>
        <v>45.3</v>
      </c>
      <c r="F71" s="3">
        <f t="shared" ref="F71" si="164">IF(K70&gt;$C$3+$C$4,"",60*$B$13)</f>
        <v>60</v>
      </c>
      <c r="G71" s="3">
        <f t="shared" ref="G71" si="165">IF(K70&gt;$C$3+$C$4,"",G69+1)</f>
        <v>22</v>
      </c>
      <c r="H71" s="13">
        <f t="shared" ref="H71" si="166">IF(K70&gt;$C$3+$C$4,"",(K70-$G$26)/$C$4)</f>
        <v>0.58421052631578951</v>
      </c>
      <c r="I71" s="13">
        <f>IF(K70&gt;$C$3+$C$4,"",ROUND(IF(Tableau1469121518[[#This Row],[Temps_Ref]]&gt;0,($F$13*Tableau1469121518[[#This Row],[Temps_Ref]]^4+$G$13*Tableau1469121518[[#This Row],[Temps_Ref]]^3+$H$13*Tableau1469121518[[#This Row],[Temps_Ref]]^2+$I$13)/$J$13,0),1))</f>
        <v>2</v>
      </c>
      <c r="J71" s="3">
        <f>IF(K70&gt;$C$3+$C$4,"",Tableau1469121518[[#This Row],[duree_standard]]*Tableau1469121518[[#This Row],[Correction_DuréeEffortIntense]])</f>
        <v>120</v>
      </c>
      <c r="K71" s="3">
        <f>IF(K70&lt;($B$3+$B$4)*60,K70+Tableau1469121518[[#This Row],[Durée_Corrigée]],K70)</f>
        <v>2718</v>
      </c>
      <c r="L71" s="3">
        <f t="shared" ref="L71:L96" si="167">IF(K70&gt;$C$3+$C$4,"",$B$8)</f>
        <v>14</v>
      </c>
      <c r="M71" s="3">
        <f t="shared" ref="M71:M96" si="168">IF(K70&gt;$C$3+$C$4,"",$B$11)</f>
        <v>35</v>
      </c>
    </row>
    <row r="72" spans="2:13" x14ac:dyDescent="0.25">
      <c r="B72" s="15"/>
      <c r="C72" s="3">
        <v>44</v>
      </c>
      <c r="D72" s="3" t="s">
        <v>7</v>
      </c>
      <c r="E72" s="3">
        <f>IF(K71&gt;$C$3+$C$4,"",Tableau1469121518[[#This Row],[cumul_temps]]/60)</f>
        <v>45.8</v>
      </c>
      <c r="F72" s="3">
        <f t="shared" ref="F72" si="169">IF(K71&gt;$C$3+$C$4,"",60*$B$14)</f>
        <v>30</v>
      </c>
      <c r="H72" s="13"/>
      <c r="I72" s="13"/>
      <c r="J72" s="13"/>
      <c r="K72" s="3">
        <f>IF(K71&lt;($B$3+$B$4)*60,K71+Tableau1469121518[[#This Row],[duree_standard]],K71)</f>
        <v>2748</v>
      </c>
      <c r="L72" s="3">
        <f t="shared" ref="L72:L96" si="170">IF(K71&gt;$C$3+$C$4,"",$B$7)</f>
        <v>7</v>
      </c>
      <c r="M72" s="3">
        <f t="shared" ref="M72:M96" si="171">IF(K71&gt;$C$3+$C$4,"",$B$10)</f>
        <v>27</v>
      </c>
    </row>
    <row r="73" spans="2:13" x14ac:dyDescent="0.25">
      <c r="B73" s="15"/>
      <c r="C73" s="3">
        <v>45</v>
      </c>
      <c r="D73" s="3" t="s">
        <v>27</v>
      </c>
      <c r="E73" s="3">
        <f>IF(K72&gt;$C$3+$C$4,"",Tableau1469121518[[#This Row],[cumul_temps]]/60)</f>
        <v>47.8</v>
      </c>
      <c r="F73" s="3">
        <f t="shared" ref="F73" si="172">IF(K72&gt;$C$3+$C$4,"",60*$B$13)</f>
        <v>60</v>
      </c>
      <c r="G73" s="3">
        <f t="shared" ref="G73" si="173">IF(K72&gt;$C$3+$C$4,"",G71+1)</f>
        <v>23</v>
      </c>
      <c r="H73" s="13">
        <f t="shared" ref="H73" si="174">IF(K72&gt;$C$3+$C$4,"",(K72-$G$26)/$C$4)</f>
        <v>0.62807017543859645</v>
      </c>
      <c r="I73" s="13">
        <f>IF(K72&gt;$C$3+$C$4,"",ROUND(IF(Tableau1469121518[[#This Row],[Temps_Ref]]&gt;0,($F$13*Tableau1469121518[[#This Row],[Temps_Ref]]^4+$G$13*Tableau1469121518[[#This Row],[Temps_Ref]]^3+$H$13*Tableau1469121518[[#This Row],[Temps_Ref]]^2+$I$13)/$J$13,0),1))</f>
        <v>2</v>
      </c>
      <c r="J73" s="3">
        <f>IF(K72&gt;$C$3+$C$4,"",Tableau1469121518[[#This Row],[duree_standard]]*Tableau1469121518[[#This Row],[Correction_DuréeEffortIntense]])</f>
        <v>120</v>
      </c>
      <c r="K73" s="3">
        <f>IF(K72&lt;($B$3+$B$4)*60,K72+Tableau1469121518[[#This Row],[Durée_Corrigée]],K72)</f>
        <v>2868</v>
      </c>
      <c r="L73" s="3">
        <f t="shared" ref="L73:L96" si="175">IF(K72&gt;$C$3+$C$4,"",$B$8)</f>
        <v>14</v>
      </c>
      <c r="M73" s="3">
        <f t="shared" ref="M73:M96" si="176">IF(K72&gt;$C$3+$C$4,"",$B$11)</f>
        <v>35</v>
      </c>
    </row>
    <row r="74" spans="2:13" x14ac:dyDescent="0.25">
      <c r="B74" s="15"/>
      <c r="C74" s="3">
        <v>46</v>
      </c>
      <c r="D74" s="3" t="s">
        <v>7</v>
      </c>
      <c r="E74" s="3">
        <f>IF(K73&gt;$C$3+$C$4,"",Tableau1469121518[[#This Row],[cumul_temps]]/60)</f>
        <v>48.3</v>
      </c>
      <c r="F74" s="3">
        <f t="shared" ref="F74:F96" si="177">IF(K73&gt;$C$3+$C$4,"",60*$B$14)</f>
        <v>30</v>
      </c>
      <c r="H74" s="13"/>
      <c r="I74" s="13"/>
      <c r="J74" s="13"/>
      <c r="K74" s="3">
        <f>IF(K73&lt;($B$3+$B$4)*60,K73+Tableau1469121518[[#This Row],[duree_standard]],K73)</f>
        <v>2898</v>
      </c>
      <c r="L74" s="3">
        <f t="shared" ref="L74:L96" si="178">IF(K73&gt;$C$3+$C$4,"",$B$7)</f>
        <v>7</v>
      </c>
      <c r="M74" s="3">
        <f t="shared" ref="M74:M96" si="179">IF(K73&gt;$C$3+$C$4,"",$B$10)</f>
        <v>27</v>
      </c>
    </row>
    <row r="75" spans="2:13" x14ac:dyDescent="0.25">
      <c r="B75" s="15"/>
      <c r="C75" s="3">
        <v>47</v>
      </c>
      <c r="D75" s="3" t="s">
        <v>27</v>
      </c>
      <c r="E75" s="3">
        <f>IF(K74&gt;$C$3+$C$4,"",Tableau1469121518[[#This Row],[cumul_temps]]/60)</f>
        <v>50.3</v>
      </c>
      <c r="F75" s="3">
        <f t="shared" ref="F75:F96" si="180">IF(K74&gt;$C$3+$C$4,"",60*$B$13)</f>
        <v>60</v>
      </c>
      <c r="G75" s="3">
        <f t="shared" ref="G75" si="181">IF(K74&gt;$C$3+$C$4,"",G73+1)</f>
        <v>24</v>
      </c>
      <c r="H75" s="13">
        <f t="shared" ref="H75:H96" si="182">IF(K74&gt;$C$3+$C$4,"",(K74-$G$26)/$C$4)</f>
        <v>0.67192982456140349</v>
      </c>
      <c r="I75" s="13">
        <f>IF(K74&gt;$C$3+$C$4,"",ROUND(IF(Tableau1469121518[[#This Row],[Temps_Ref]]&gt;0,($F$13*Tableau1469121518[[#This Row],[Temps_Ref]]^4+$G$13*Tableau1469121518[[#This Row],[Temps_Ref]]^3+$H$13*Tableau1469121518[[#This Row],[Temps_Ref]]^2+$I$13)/$J$13,0),1))</f>
        <v>2</v>
      </c>
      <c r="J75" s="3">
        <f>IF(K74&gt;$C$3+$C$4,"",Tableau1469121518[[#This Row],[duree_standard]]*Tableau1469121518[[#This Row],[Correction_DuréeEffortIntense]])</f>
        <v>120</v>
      </c>
      <c r="K75" s="3">
        <f>IF(K74&lt;($B$3+$B$4)*60,K74+Tableau1469121518[[#This Row],[Durée_Corrigée]],K74)</f>
        <v>3018</v>
      </c>
      <c r="L75" s="3">
        <f t="shared" ref="L75:L96" si="183">IF(K74&gt;$C$3+$C$4,"",$B$8)</f>
        <v>14</v>
      </c>
      <c r="M75" s="3">
        <f t="shared" ref="M75:M96" si="184">IF(K74&gt;$C$3+$C$4,"",$B$11)</f>
        <v>35</v>
      </c>
    </row>
    <row r="76" spans="2:13" x14ac:dyDescent="0.25">
      <c r="B76" s="15"/>
      <c r="C76" s="3">
        <v>48</v>
      </c>
      <c r="D76" s="3" t="s">
        <v>7</v>
      </c>
      <c r="E76" s="3">
        <f>IF(K75&gt;$C$3+$C$4,"",Tableau1469121518[[#This Row],[cumul_temps]]/60)</f>
        <v>50.8</v>
      </c>
      <c r="F76" s="3">
        <f t="shared" ref="F76:F96" si="185">IF(K75&gt;$C$3+$C$4,"",60*$B$14)</f>
        <v>30</v>
      </c>
      <c r="H76" s="13"/>
      <c r="I76" s="13"/>
      <c r="J76" s="13"/>
      <c r="K76" s="3">
        <f>IF(K75&lt;($B$3+$B$4)*60,K75+Tableau1469121518[[#This Row],[duree_standard]],K75)</f>
        <v>3048</v>
      </c>
      <c r="L76" s="3">
        <f t="shared" ref="L76:L96" si="186">IF(K75&gt;$C$3+$C$4,"",$B$7)</f>
        <v>7</v>
      </c>
      <c r="M76" s="3">
        <f t="shared" ref="M76:M96" si="187">IF(K75&gt;$C$3+$C$4,"",$B$10)</f>
        <v>27</v>
      </c>
    </row>
    <row r="77" spans="2:13" x14ac:dyDescent="0.25">
      <c r="B77" s="15"/>
      <c r="C77" s="3">
        <v>49</v>
      </c>
      <c r="D77" s="3" t="s">
        <v>27</v>
      </c>
      <c r="E77" s="3">
        <f>IF(K76&gt;$C$3+$C$4,"",Tableau1469121518[[#This Row],[cumul_temps]]/60)</f>
        <v>52.7</v>
      </c>
      <c r="F77" s="3">
        <f t="shared" ref="F77:F96" si="188">IF(K76&gt;$C$3+$C$4,"",60*$B$13)</f>
        <v>60</v>
      </c>
      <c r="G77" s="3">
        <f t="shared" ref="G77" si="189">IF(K76&gt;$C$3+$C$4,"",G75+1)</f>
        <v>25</v>
      </c>
      <c r="H77" s="13">
        <f t="shared" ref="H77:H96" si="190">IF(K76&gt;$C$3+$C$4,"",(K76-$G$26)/$C$4)</f>
        <v>0.71578947368421053</v>
      </c>
      <c r="I77" s="13">
        <f>IF(K76&gt;$C$3+$C$4,"",ROUND(IF(Tableau1469121518[[#This Row],[Temps_Ref]]&gt;0,($F$13*Tableau1469121518[[#This Row],[Temps_Ref]]^4+$G$13*Tableau1469121518[[#This Row],[Temps_Ref]]^3+$H$13*Tableau1469121518[[#This Row],[Temps_Ref]]^2+$I$13)/$J$13,0),1))</f>
        <v>1.9</v>
      </c>
      <c r="J77" s="3">
        <f>IF(K76&gt;$C$3+$C$4,"",Tableau1469121518[[#This Row],[duree_standard]]*Tableau1469121518[[#This Row],[Correction_DuréeEffortIntense]])</f>
        <v>114</v>
      </c>
      <c r="K77" s="3">
        <f>IF(K76&lt;($B$3+$B$4)*60,K76+Tableau1469121518[[#This Row],[Durée_Corrigée]],K76)</f>
        <v>3162</v>
      </c>
      <c r="L77" s="3">
        <f t="shared" ref="L77:L96" si="191">IF(K76&gt;$C$3+$C$4,"",$B$8)</f>
        <v>14</v>
      </c>
      <c r="M77" s="3">
        <f t="shared" ref="M77:M96" si="192">IF(K76&gt;$C$3+$C$4,"",$B$11)</f>
        <v>35</v>
      </c>
    </row>
    <row r="78" spans="2:13" x14ac:dyDescent="0.25">
      <c r="B78" s="15"/>
      <c r="C78" s="3">
        <v>50</v>
      </c>
      <c r="D78" s="3" t="s">
        <v>7</v>
      </c>
      <c r="E78" s="3">
        <f>IF(K77&gt;$C$3+$C$4,"",Tableau1469121518[[#This Row],[cumul_temps]]/60)</f>
        <v>53.2</v>
      </c>
      <c r="F78" s="3">
        <f t="shared" ref="F78:F96" si="193">IF(K77&gt;$C$3+$C$4,"",60*$B$14)</f>
        <v>30</v>
      </c>
      <c r="H78" s="13"/>
      <c r="I78" s="13"/>
      <c r="J78" s="13"/>
      <c r="K78" s="3">
        <f>IF(K77&lt;($B$3+$B$4)*60,K77+Tableau1469121518[[#This Row],[duree_standard]],K77)</f>
        <v>3192</v>
      </c>
      <c r="L78" s="3">
        <f t="shared" ref="L78:L96" si="194">IF(K77&gt;$C$3+$C$4,"",$B$7)</f>
        <v>7</v>
      </c>
      <c r="M78" s="3">
        <f t="shared" ref="M78:M96" si="195">IF(K77&gt;$C$3+$C$4,"",$B$10)</f>
        <v>27</v>
      </c>
    </row>
    <row r="79" spans="2:13" x14ac:dyDescent="0.25">
      <c r="B79" s="15"/>
      <c r="C79" s="3">
        <v>51</v>
      </c>
      <c r="D79" s="3" t="s">
        <v>27</v>
      </c>
      <c r="E79" s="3">
        <f>IF(K78&gt;$C$3+$C$4,"",Tableau1469121518[[#This Row],[cumul_temps]]/60)</f>
        <v>55</v>
      </c>
      <c r="F79" s="3">
        <f t="shared" ref="F79:F96" si="196">IF(K78&gt;$C$3+$C$4,"",60*$B$13)</f>
        <v>60</v>
      </c>
      <c r="G79" s="3">
        <f t="shared" ref="G79" si="197">IF(K78&gt;$C$3+$C$4,"",G77+1)</f>
        <v>26</v>
      </c>
      <c r="H79" s="13">
        <f t="shared" ref="H79:H96" si="198">IF(K78&gt;$C$3+$C$4,"",(K78-$G$26)/$C$4)</f>
        <v>0.75789473684210529</v>
      </c>
      <c r="I79" s="13">
        <f>IF(K78&gt;$C$3+$C$4,"",ROUND(IF(Tableau1469121518[[#This Row],[Temps_Ref]]&gt;0,($F$13*Tableau1469121518[[#This Row],[Temps_Ref]]^4+$G$13*Tableau1469121518[[#This Row],[Temps_Ref]]^3+$H$13*Tableau1469121518[[#This Row],[Temps_Ref]]^2+$I$13)/$J$13,0),1))</f>
        <v>1.8</v>
      </c>
      <c r="J79" s="3">
        <f>IF(K78&gt;$C$3+$C$4,"",Tableau1469121518[[#This Row],[duree_standard]]*Tableau1469121518[[#This Row],[Correction_DuréeEffortIntense]])</f>
        <v>108</v>
      </c>
      <c r="K79" s="3">
        <f>IF(K78&lt;($B$3+$B$4)*60,K78+Tableau1469121518[[#This Row],[Durée_Corrigée]],K78)</f>
        <v>3300</v>
      </c>
      <c r="L79" s="3">
        <f t="shared" ref="L79:L96" si="199">IF(K78&gt;$C$3+$C$4,"",$B$8)</f>
        <v>14</v>
      </c>
      <c r="M79" s="3">
        <f t="shared" ref="M79:M96" si="200">IF(K78&gt;$C$3+$C$4,"",$B$11)</f>
        <v>35</v>
      </c>
    </row>
    <row r="80" spans="2:13" x14ac:dyDescent="0.25">
      <c r="B80" s="15"/>
      <c r="C80" s="3">
        <v>52</v>
      </c>
      <c r="D80" s="3" t="s">
        <v>7</v>
      </c>
      <c r="E80" s="3">
        <f>IF(K79&gt;$C$3+$C$4,"",Tableau1469121518[[#This Row],[cumul_temps]]/60)</f>
        <v>55.5</v>
      </c>
      <c r="F80" s="3">
        <f t="shared" ref="F80:F96" si="201">IF(K79&gt;$C$3+$C$4,"",60*$B$14)</f>
        <v>30</v>
      </c>
      <c r="H80" s="13"/>
      <c r="I80" s="13"/>
      <c r="J80" s="13"/>
      <c r="K80" s="3">
        <f>IF(K79&lt;($B$3+$B$4)*60,K79+Tableau1469121518[[#This Row],[duree_standard]],K79)</f>
        <v>3330</v>
      </c>
      <c r="L80" s="3">
        <f t="shared" ref="L80:L96" si="202">IF(K79&gt;$C$3+$C$4,"",$B$7)</f>
        <v>7</v>
      </c>
      <c r="M80" s="3">
        <f t="shared" ref="M80:M96" si="203">IF(K79&gt;$C$3+$C$4,"",$B$10)</f>
        <v>27</v>
      </c>
    </row>
    <row r="81" spans="2:13" x14ac:dyDescent="0.25">
      <c r="B81" s="15"/>
      <c r="C81" s="3">
        <v>53</v>
      </c>
      <c r="D81" s="3" t="s">
        <v>27</v>
      </c>
      <c r="E81" s="3">
        <f>IF(K80&gt;$C$3+$C$4,"",Tableau1469121518[[#This Row],[cumul_temps]]/60)</f>
        <v>57.2</v>
      </c>
      <c r="F81" s="3">
        <f t="shared" ref="F81:F96" si="204">IF(K80&gt;$C$3+$C$4,"",60*$B$13)</f>
        <v>60</v>
      </c>
      <c r="G81" s="3">
        <f t="shared" ref="G81" si="205">IF(K80&gt;$C$3+$C$4,"",G79+1)</f>
        <v>27</v>
      </c>
      <c r="H81" s="13">
        <f t="shared" ref="H81:H96" si="206">IF(K80&gt;$C$3+$C$4,"",(K80-$G$26)/$C$4)</f>
        <v>0.79824561403508776</v>
      </c>
      <c r="I81" s="13">
        <f>IF(K80&gt;$C$3+$C$4,"",ROUND(IF(Tableau1469121518[[#This Row],[Temps_Ref]]&gt;0,($F$13*Tableau1469121518[[#This Row],[Temps_Ref]]^4+$G$13*Tableau1469121518[[#This Row],[Temps_Ref]]^3+$H$13*Tableau1469121518[[#This Row],[Temps_Ref]]^2+$I$13)/$J$13,0),1))</f>
        <v>1.7</v>
      </c>
      <c r="J81" s="3">
        <f>IF(K80&gt;$C$3+$C$4,"",Tableau1469121518[[#This Row],[duree_standard]]*Tableau1469121518[[#This Row],[Correction_DuréeEffortIntense]])</f>
        <v>102</v>
      </c>
      <c r="K81" s="3">
        <f>IF(K80&lt;($B$3+$B$4)*60,K80+Tableau1469121518[[#This Row],[Durée_Corrigée]],K80)</f>
        <v>3432</v>
      </c>
      <c r="L81" s="3">
        <f t="shared" ref="L81:L96" si="207">IF(K80&gt;$C$3+$C$4,"",$B$8)</f>
        <v>14</v>
      </c>
      <c r="M81" s="3">
        <f t="shared" ref="M81:M96" si="208">IF(K80&gt;$C$3+$C$4,"",$B$11)</f>
        <v>35</v>
      </c>
    </row>
    <row r="82" spans="2:13" x14ac:dyDescent="0.25">
      <c r="B82" s="15"/>
      <c r="C82" s="3">
        <v>54</v>
      </c>
      <c r="D82" s="3" t="s">
        <v>7</v>
      </c>
      <c r="E82" s="3">
        <f>IF(K81&gt;$C$3+$C$4,"",Tableau1469121518[[#This Row],[cumul_temps]]/60)</f>
        <v>57.7</v>
      </c>
      <c r="F82" s="3">
        <f t="shared" ref="F82:F96" si="209">IF(K81&gt;$C$3+$C$4,"",60*$B$14)</f>
        <v>30</v>
      </c>
      <c r="H82" s="13"/>
      <c r="I82" s="13"/>
      <c r="J82" s="13"/>
      <c r="K82" s="3">
        <f>IF(K81&lt;($B$3+$B$4)*60,K81+Tableau1469121518[[#This Row],[duree_standard]],K81)</f>
        <v>3462</v>
      </c>
      <c r="L82" s="3">
        <f t="shared" ref="L82:L96" si="210">IF(K81&gt;$C$3+$C$4,"",$B$7)</f>
        <v>7</v>
      </c>
      <c r="M82" s="3">
        <f t="shared" ref="M82:M96" si="211">IF(K81&gt;$C$3+$C$4,"",$B$10)</f>
        <v>27</v>
      </c>
    </row>
    <row r="83" spans="2:13" x14ac:dyDescent="0.25">
      <c r="B83" s="15"/>
      <c r="C83" s="3">
        <v>55</v>
      </c>
      <c r="D83" s="3" t="s">
        <v>27</v>
      </c>
      <c r="E83" s="3">
        <f>IF(K82&gt;$C$3+$C$4,"",Tableau1469121518[[#This Row],[cumul_temps]]/60)</f>
        <v>59.3</v>
      </c>
      <c r="F83" s="3">
        <f t="shared" ref="F83:F96" si="212">IF(K82&gt;$C$3+$C$4,"",60*$B$13)</f>
        <v>60</v>
      </c>
      <c r="G83" s="3">
        <f t="shared" ref="G83" si="213">IF(K82&gt;$C$3+$C$4,"",G81+1)</f>
        <v>28</v>
      </c>
      <c r="H83" s="13">
        <f t="shared" ref="H83:H96" si="214">IF(K82&gt;$C$3+$C$4,"",(K82-$G$26)/$C$4)</f>
        <v>0.83684210526315794</v>
      </c>
      <c r="I83" s="13">
        <f>IF(K82&gt;$C$3+$C$4,"",ROUND(IF(Tableau1469121518[[#This Row],[Temps_Ref]]&gt;0,($F$13*Tableau1469121518[[#This Row],[Temps_Ref]]^4+$G$13*Tableau1469121518[[#This Row],[Temps_Ref]]^3+$H$13*Tableau1469121518[[#This Row],[Temps_Ref]]^2+$I$13)/$J$13,0),1))</f>
        <v>1.6</v>
      </c>
      <c r="J83" s="3">
        <f>IF(K82&gt;$C$3+$C$4,"",Tableau1469121518[[#This Row],[duree_standard]]*Tableau1469121518[[#This Row],[Correction_DuréeEffortIntense]])</f>
        <v>96</v>
      </c>
      <c r="K83" s="3">
        <f>IF(K82&lt;($B$3+$B$4)*60,K82+Tableau1469121518[[#This Row],[Durée_Corrigée]],K82)</f>
        <v>3558</v>
      </c>
      <c r="L83" s="3">
        <f t="shared" ref="L83:L96" si="215">IF(K82&gt;$C$3+$C$4,"",$B$8)</f>
        <v>14</v>
      </c>
      <c r="M83" s="3">
        <f t="shared" ref="M83:M96" si="216">IF(K82&gt;$C$3+$C$4,"",$B$11)</f>
        <v>35</v>
      </c>
    </row>
    <row r="84" spans="2:13" x14ac:dyDescent="0.25">
      <c r="B84" s="15"/>
      <c r="C84" s="3">
        <v>56</v>
      </c>
      <c r="D84" s="3" t="s">
        <v>7</v>
      </c>
      <c r="E84" s="3">
        <f>IF(K83&gt;$C$3+$C$4,"",Tableau1469121518[[#This Row],[cumul_temps]]/60)</f>
        <v>59.8</v>
      </c>
      <c r="F84" s="3">
        <f t="shared" ref="F84:F96" si="217">IF(K83&gt;$C$3+$C$4,"",60*$B$14)</f>
        <v>30</v>
      </c>
      <c r="H84" s="13"/>
      <c r="I84" s="13"/>
      <c r="J84" s="13"/>
      <c r="K84" s="3">
        <f>IF(K83&lt;($B$3+$B$4)*60,K83+Tableau1469121518[[#This Row],[duree_standard]],K83)</f>
        <v>3588</v>
      </c>
      <c r="L84" s="3">
        <f t="shared" ref="L84:L96" si="218">IF(K83&gt;$C$3+$C$4,"",$B$7)</f>
        <v>7</v>
      </c>
      <c r="M84" s="3">
        <f t="shared" ref="M84:M96" si="219">IF(K83&gt;$C$3+$C$4,"",$B$10)</f>
        <v>27</v>
      </c>
    </row>
    <row r="85" spans="2:13" x14ac:dyDescent="0.25">
      <c r="B85" s="15"/>
      <c r="C85" s="3">
        <v>57</v>
      </c>
      <c r="D85" s="3" t="s">
        <v>27</v>
      </c>
      <c r="E85" s="3">
        <f>IF(K84&gt;$C$3+$C$4,"",Tableau1469121518[[#This Row],[cumul_temps]]/60)</f>
        <v>61.3</v>
      </c>
      <c r="F85" s="3">
        <f t="shared" ref="F85:F96" si="220">IF(K84&gt;$C$3+$C$4,"",60*$B$13)</f>
        <v>60</v>
      </c>
      <c r="G85" s="3">
        <f t="shared" ref="G85" si="221">IF(K84&gt;$C$3+$C$4,"",G83+1)</f>
        <v>29</v>
      </c>
      <c r="H85" s="13">
        <f t="shared" ref="H85:H96" si="222">IF(K84&gt;$C$3+$C$4,"",(K84-$G$26)/$C$4)</f>
        <v>0.87368421052631584</v>
      </c>
      <c r="I85" s="13">
        <f>IF(K84&gt;$C$3+$C$4,"",ROUND(IF(Tableau1469121518[[#This Row],[Temps_Ref]]&gt;0,($F$13*Tableau1469121518[[#This Row],[Temps_Ref]]^4+$G$13*Tableau1469121518[[#This Row],[Temps_Ref]]^3+$H$13*Tableau1469121518[[#This Row],[Temps_Ref]]^2+$I$13)/$J$13,0),1))</f>
        <v>1.5</v>
      </c>
      <c r="J85" s="3">
        <f>IF(K84&gt;$C$3+$C$4,"",Tableau1469121518[[#This Row],[duree_standard]]*Tableau1469121518[[#This Row],[Correction_DuréeEffortIntense]])</f>
        <v>90</v>
      </c>
      <c r="K85" s="3">
        <f>IF(K84&lt;($B$3+$B$4)*60,K84+Tableau1469121518[[#This Row],[Durée_Corrigée]],K84)</f>
        <v>3678</v>
      </c>
      <c r="L85" s="3">
        <f t="shared" ref="L85:L96" si="223">IF(K84&gt;$C$3+$C$4,"",$B$8)</f>
        <v>14</v>
      </c>
      <c r="M85" s="3">
        <f t="shared" ref="M85:M96" si="224">IF(K84&gt;$C$3+$C$4,"",$B$11)</f>
        <v>35</v>
      </c>
    </row>
    <row r="86" spans="2:13" x14ac:dyDescent="0.25">
      <c r="B86" s="15"/>
      <c r="C86" s="3">
        <v>58</v>
      </c>
      <c r="D86" s="3" t="s">
        <v>7</v>
      </c>
      <c r="E86" s="3">
        <f>IF(K85&gt;$C$3+$C$4,"",Tableau1469121518[[#This Row],[cumul_temps]]/60)</f>
        <v>61.8</v>
      </c>
      <c r="F86" s="3">
        <f t="shared" ref="F86:F96" si="225">IF(K85&gt;$C$3+$C$4,"",60*$B$14)</f>
        <v>30</v>
      </c>
      <c r="H86" s="13"/>
      <c r="I86" s="13"/>
      <c r="J86" s="13"/>
      <c r="K86" s="3">
        <f>IF(K85&lt;($B$3+$B$4)*60,K85+Tableau1469121518[[#This Row],[duree_standard]],K85)</f>
        <v>3708</v>
      </c>
      <c r="L86" s="3">
        <f t="shared" ref="L86:L96" si="226">IF(K85&gt;$C$3+$C$4,"",$B$7)</f>
        <v>7</v>
      </c>
      <c r="M86" s="3">
        <f t="shared" ref="M86:M96" si="227">IF(K85&gt;$C$3+$C$4,"",$B$10)</f>
        <v>27</v>
      </c>
    </row>
    <row r="87" spans="2:13" x14ac:dyDescent="0.25">
      <c r="B87" s="15"/>
      <c r="C87" s="3">
        <v>59</v>
      </c>
      <c r="D87" s="3" t="s">
        <v>27</v>
      </c>
      <c r="E87" s="3">
        <f>IF(K86&gt;$C$3+$C$4,"",Tableau1469121518[[#This Row],[cumul_temps]]/60)</f>
        <v>63.1</v>
      </c>
      <c r="F87" s="3">
        <f t="shared" ref="F87:F96" si="228">IF(K86&gt;$C$3+$C$4,"",60*$B$13)</f>
        <v>60</v>
      </c>
      <c r="G87" s="3">
        <f t="shared" ref="G87" si="229">IF(K86&gt;$C$3+$C$4,"",G85+1)</f>
        <v>30</v>
      </c>
      <c r="H87" s="13">
        <f t="shared" ref="H87:H96" si="230">IF(K86&gt;$C$3+$C$4,"",(K86-$G$26)/$C$4)</f>
        <v>0.90877192982456145</v>
      </c>
      <c r="I87" s="13">
        <f>IF(K86&gt;$C$3+$C$4,"",ROUND(IF(Tableau1469121518[[#This Row],[Temps_Ref]]&gt;0,($F$13*Tableau1469121518[[#This Row],[Temps_Ref]]^4+$G$13*Tableau1469121518[[#This Row],[Temps_Ref]]^3+$H$13*Tableau1469121518[[#This Row],[Temps_Ref]]^2+$I$13)/$J$13,0),1))</f>
        <v>1.3</v>
      </c>
      <c r="J87" s="3">
        <f>IF(K86&gt;$C$3+$C$4,"",Tableau1469121518[[#This Row],[duree_standard]]*Tableau1469121518[[#This Row],[Correction_DuréeEffortIntense]])</f>
        <v>78</v>
      </c>
      <c r="K87" s="3">
        <f>IF(K86&lt;($B$3+$B$4)*60,K86+Tableau1469121518[[#This Row],[Durée_Corrigée]],K86)</f>
        <v>3786</v>
      </c>
      <c r="L87" s="3">
        <f t="shared" ref="L87:L96" si="231">IF(K86&gt;$C$3+$C$4,"",$B$8)</f>
        <v>14</v>
      </c>
      <c r="M87" s="3">
        <f t="shared" ref="M87:M96" si="232">IF(K86&gt;$C$3+$C$4,"",$B$11)</f>
        <v>35</v>
      </c>
    </row>
    <row r="88" spans="2:13" x14ac:dyDescent="0.25">
      <c r="B88" s="15"/>
      <c r="C88" s="3">
        <v>60</v>
      </c>
      <c r="D88" s="3" t="s">
        <v>7</v>
      </c>
      <c r="E88" s="3">
        <f>IF(K87&gt;$C$3+$C$4,"",Tableau1469121518[[#This Row],[cumul_temps]]/60)</f>
        <v>63.6</v>
      </c>
      <c r="F88" s="3">
        <f t="shared" ref="F88:F96" si="233">IF(K87&gt;$C$3+$C$4,"",60*$B$14)</f>
        <v>30</v>
      </c>
      <c r="H88" s="13"/>
      <c r="I88" s="13"/>
      <c r="J88" s="13"/>
      <c r="K88" s="3">
        <f>IF(K87&lt;($B$3+$B$4)*60,K87+Tableau1469121518[[#This Row],[duree_standard]],K87)</f>
        <v>3816</v>
      </c>
      <c r="L88" s="3">
        <f t="shared" ref="L88:L96" si="234">IF(K87&gt;$C$3+$C$4,"",$B$7)</f>
        <v>7</v>
      </c>
      <c r="M88" s="3">
        <f t="shared" ref="M88:M96" si="235">IF(K87&gt;$C$3+$C$4,"",$B$10)</f>
        <v>27</v>
      </c>
    </row>
    <row r="89" spans="2:13" x14ac:dyDescent="0.25">
      <c r="B89" s="15"/>
      <c r="C89" s="3">
        <v>61</v>
      </c>
      <c r="D89" s="3" t="s">
        <v>27</v>
      </c>
      <c r="E89" s="3">
        <f>IF(K88&gt;$C$3+$C$4,"",Tableau1469121518[[#This Row],[cumul_temps]]/60)</f>
        <v>64.8</v>
      </c>
      <c r="F89" s="3">
        <f t="shared" ref="F89:F96" si="236">IF(K88&gt;$C$3+$C$4,"",60*$B$13)</f>
        <v>60</v>
      </c>
      <c r="G89" s="3">
        <f t="shared" ref="G89" si="237">IF(K88&gt;$C$3+$C$4,"",G87+1)</f>
        <v>31</v>
      </c>
      <c r="H89" s="13">
        <f t="shared" ref="H89:H96" si="238">IF(K88&gt;$C$3+$C$4,"",(K88-$G$26)/$C$4)</f>
        <v>0.94035087719298249</v>
      </c>
      <c r="I89" s="13">
        <f>IF(K88&gt;$C$3+$C$4,"",ROUND(IF(Tableau1469121518[[#This Row],[Temps_Ref]]&gt;0,($F$13*Tableau1469121518[[#This Row],[Temps_Ref]]^4+$G$13*Tableau1469121518[[#This Row],[Temps_Ref]]^3+$H$13*Tableau1469121518[[#This Row],[Temps_Ref]]^2+$I$13)/$J$13,0),1))</f>
        <v>1.2</v>
      </c>
      <c r="J89" s="3">
        <f>IF(K88&gt;$C$3+$C$4,"",Tableau1469121518[[#This Row],[duree_standard]]*Tableau1469121518[[#This Row],[Correction_DuréeEffortIntense]])</f>
        <v>72</v>
      </c>
      <c r="K89" s="3">
        <f>IF(K88&lt;($B$3+$B$4)*60,K88+Tableau1469121518[[#This Row],[Durée_Corrigée]],K88)</f>
        <v>3888</v>
      </c>
      <c r="L89" s="3">
        <f t="shared" ref="L89:L96" si="239">IF(K88&gt;$C$3+$C$4,"",$B$8)</f>
        <v>14</v>
      </c>
      <c r="M89" s="3">
        <f t="shared" ref="M89:M96" si="240">IF(K88&gt;$C$3+$C$4,"",$B$11)</f>
        <v>35</v>
      </c>
    </row>
    <row r="90" spans="2:13" x14ac:dyDescent="0.25">
      <c r="B90" s="15"/>
      <c r="C90" s="3">
        <v>62</v>
      </c>
      <c r="D90" s="3" t="s">
        <v>7</v>
      </c>
      <c r="E90" s="3">
        <f>IF(K89&gt;$C$3+$C$4,"",Tableau1469121518[[#This Row],[cumul_temps]]/60)</f>
        <v>65.3</v>
      </c>
      <c r="F90" s="3">
        <f t="shared" ref="F90:F96" si="241">IF(K89&gt;$C$3+$C$4,"",60*$B$14)</f>
        <v>30</v>
      </c>
      <c r="H90" s="13"/>
      <c r="I90" s="13"/>
      <c r="J90" s="13"/>
      <c r="K90" s="3">
        <f>IF(K89&lt;($B$3+$B$4)*60,K89+Tableau1469121518[[#This Row],[duree_standard]],K89)</f>
        <v>3918</v>
      </c>
      <c r="L90" s="3">
        <f t="shared" ref="L90:L96" si="242">IF(K89&gt;$C$3+$C$4,"",$B$7)</f>
        <v>7</v>
      </c>
      <c r="M90" s="3">
        <f t="shared" ref="M90:M96" si="243">IF(K89&gt;$C$3+$C$4,"",$B$10)</f>
        <v>27</v>
      </c>
    </row>
    <row r="91" spans="2:13" x14ac:dyDescent="0.25">
      <c r="B91" s="15"/>
      <c r="C91" s="3">
        <v>63</v>
      </c>
      <c r="D91" s="3" t="s">
        <v>27</v>
      </c>
      <c r="E91" s="3">
        <f>IF(K90&gt;$C$3+$C$4,"",Tableau1469121518[[#This Row],[cumul_temps]]/60)</f>
        <v>66.400000000000006</v>
      </c>
      <c r="F91" s="3">
        <f t="shared" ref="F91:F96" si="244">IF(K90&gt;$C$3+$C$4,"",60*$B$13)</f>
        <v>60</v>
      </c>
      <c r="G91" s="3">
        <f t="shared" ref="G91" si="245">IF(K90&gt;$C$3+$C$4,"",G89+1)</f>
        <v>32</v>
      </c>
      <c r="H91" s="13">
        <f t="shared" ref="H91:H96" si="246">IF(K90&gt;$C$3+$C$4,"",(K90-$G$26)/$C$4)</f>
        <v>0.97017543859649125</v>
      </c>
      <c r="I91" s="13">
        <f>IF(K90&gt;$C$3+$C$4,"",ROUND(IF(Tableau1469121518[[#This Row],[Temps_Ref]]&gt;0,($F$13*Tableau1469121518[[#This Row],[Temps_Ref]]^4+$G$13*Tableau1469121518[[#This Row],[Temps_Ref]]^3+$H$13*Tableau1469121518[[#This Row],[Temps_Ref]]^2+$I$13)/$J$13,0),1))</f>
        <v>1.1000000000000001</v>
      </c>
      <c r="J91" s="3">
        <f>IF(K90&gt;$C$3+$C$4,"",Tableau1469121518[[#This Row],[duree_standard]]*Tableau1469121518[[#This Row],[Correction_DuréeEffortIntense]])</f>
        <v>66</v>
      </c>
      <c r="K91" s="3">
        <f>IF(K90&lt;($B$3+$B$4)*60,K90+Tableau1469121518[[#This Row],[Durée_Corrigée]],K90)</f>
        <v>3984</v>
      </c>
      <c r="L91" s="3">
        <f t="shared" ref="L91:L96" si="247">IF(K90&gt;$C$3+$C$4,"",$B$8)</f>
        <v>14</v>
      </c>
      <c r="M91" s="3">
        <f t="shared" ref="M91:M96" si="248">IF(K90&gt;$C$3+$C$4,"",$B$11)</f>
        <v>35</v>
      </c>
    </row>
    <row r="92" spans="2:13" x14ac:dyDescent="0.25">
      <c r="B92" s="15"/>
      <c r="C92" s="3">
        <v>64</v>
      </c>
      <c r="D92" s="3" t="s">
        <v>7</v>
      </c>
      <c r="E92" s="3">
        <f>IF(K91&gt;$C$3+$C$4,"",Tableau1469121518[[#This Row],[cumul_temps]]/60)</f>
        <v>66.900000000000006</v>
      </c>
      <c r="F92" s="3">
        <f t="shared" ref="F92:F96" si="249">IF(K91&gt;$C$3+$C$4,"",60*$B$14)</f>
        <v>30</v>
      </c>
      <c r="H92" s="13"/>
      <c r="I92" s="13"/>
      <c r="J92" s="13"/>
      <c r="K92" s="3">
        <f>IF(K91&lt;($B$3+$B$4)*60,K91+Tableau1469121518[[#This Row],[duree_standard]],K91)</f>
        <v>4014</v>
      </c>
      <c r="L92" s="3">
        <f t="shared" ref="L92:L96" si="250">IF(K91&gt;$C$3+$C$4,"",$B$7)</f>
        <v>7</v>
      </c>
      <c r="M92" s="3">
        <f t="shared" ref="M92:M96" si="251">IF(K91&gt;$C$3+$C$4,"",$B$10)</f>
        <v>27</v>
      </c>
    </row>
    <row r="93" spans="2:13" x14ac:dyDescent="0.25">
      <c r="B93" s="15"/>
      <c r="C93" s="3">
        <v>65</v>
      </c>
      <c r="D93" s="3" t="s">
        <v>27</v>
      </c>
      <c r="E93" s="3">
        <f>IF(K92&gt;$C$3+$C$4,"",Tableau1469121518[[#This Row],[cumul_temps]]/60)</f>
        <v>67.900000000000006</v>
      </c>
      <c r="F93" s="3">
        <f t="shared" ref="F93:F96" si="252">IF(K92&gt;$C$3+$C$4,"",60*$B$13)</f>
        <v>60</v>
      </c>
      <c r="G93" s="3">
        <f t="shared" ref="G93" si="253">IF(K92&gt;$C$3+$C$4,"",G91+1)</f>
        <v>33</v>
      </c>
      <c r="H93" s="13">
        <f t="shared" ref="H93:H96" si="254">IF(K92&gt;$C$3+$C$4,"",(K92-$G$26)/$C$4)</f>
        <v>0.99824561403508771</v>
      </c>
      <c r="I93" s="13">
        <f>IF(K92&gt;$C$3+$C$4,"",ROUND(IF(Tableau1469121518[[#This Row],[Temps_Ref]]&gt;0,($F$13*Tableau1469121518[[#This Row],[Temps_Ref]]^4+$G$13*Tableau1469121518[[#This Row],[Temps_Ref]]^3+$H$13*Tableau1469121518[[#This Row],[Temps_Ref]]^2+$I$13)/$J$13,0),1))</f>
        <v>1</v>
      </c>
      <c r="J93" s="3">
        <f>IF(K92&gt;$C$3+$C$4,"",Tableau1469121518[[#This Row],[duree_standard]]*Tableau1469121518[[#This Row],[Correction_DuréeEffortIntense]])</f>
        <v>60</v>
      </c>
      <c r="K93" s="3">
        <f>IF(K92&lt;($B$3+$B$4)*60,K92+Tableau1469121518[[#This Row],[Durée_Corrigée]],K92)</f>
        <v>4074</v>
      </c>
      <c r="L93" s="3">
        <f t="shared" ref="L93:L96" si="255">IF(K92&gt;$C$3+$C$4,"",$B$8)</f>
        <v>14</v>
      </c>
      <c r="M93" s="3">
        <f t="shared" ref="M93:M96" si="256">IF(K92&gt;$C$3+$C$4,"",$B$11)</f>
        <v>35</v>
      </c>
    </row>
    <row r="94" spans="2:13" x14ac:dyDescent="0.25">
      <c r="B94" s="15"/>
      <c r="C94" s="3">
        <v>66</v>
      </c>
      <c r="D94" s="3" t="s">
        <v>7</v>
      </c>
      <c r="E94" s="3" t="str">
        <f>IF(K93&gt;$C$3+$C$4,"",Tableau1469121518[[#This Row],[cumul_temps]]/60)</f>
        <v/>
      </c>
      <c r="F94" s="3" t="str">
        <f t="shared" ref="F94:F96" si="257">IF(K93&gt;$C$3+$C$4,"",60*$B$14)</f>
        <v/>
      </c>
      <c r="H94" s="13"/>
      <c r="I94" s="13"/>
      <c r="J94" s="13"/>
      <c r="K94" s="3">
        <f>IF(K93&lt;($B$3+$B$4)*60,K93+Tableau1469121518[[#This Row],[duree_standard]],K93)</f>
        <v>4074</v>
      </c>
      <c r="L94" s="3" t="str">
        <f t="shared" ref="L94:L96" si="258">IF(K93&gt;$C$3+$C$4,"",$B$7)</f>
        <v/>
      </c>
      <c r="M94" s="3" t="str">
        <f t="shared" ref="M94:M96" si="259">IF(K93&gt;$C$3+$C$4,"",$B$10)</f>
        <v/>
      </c>
    </row>
    <row r="95" spans="2:13" x14ac:dyDescent="0.25">
      <c r="B95" s="15"/>
      <c r="C95" s="3">
        <v>67</v>
      </c>
      <c r="D95" s="3" t="s">
        <v>27</v>
      </c>
      <c r="E95" s="3" t="str">
        <f>IF(K94&gt;$C$3+$C$4,"",Tableau1469121518[[#This Row],[cumul_temps]]/60)</f>
        <v/>
      </c>
      <c r="F95" s="3" t="str">
        <f t="shared" ref="F95:F96" si="260">IF(K94&gt;$C$3+$C$4,"",60*$B$13)</f>
        <v/>
      </c>
      <c r="G95" s="3" t="str">
        <f t="shared" ref="G95" si="261">IF(K94&gt;$C$3+$C$4,"",G93+1)</f>
        <v/>
      </c>
      <c r="H95" s="13" t="str">
        <f t="shared" ref="H95:H96" si="262">IF(K94&gt;$C$3+$C$4,"",(K94-$G$26)/$C$4)</f>
        <v/>
      </c>
      <c r="I95" s="13" t="str">
        <f>IF(K94&gt;$C$3+$C$4,"",ROUND(IF(Tableau1469121518[[#This Row],[Temps_Ref]]&gt;0,($F$13*Tableau1469121518[[#This Row],[Temps_Ref]]^4+$G$13*Tableau1469121518[[#This Row],[Temps_Ref]]^3+$H$13*Tableau1469121518[[#This Row],[Temps_Ref]]^2+$I$13)/$J$13,0),1))</f>
        <v/>
      </c>
      <c r="J95" s="3" t="str">
        <f>IF(K94&gt;$C$3+$C$4,"",Tableau1469121518[[#This Row],[duree_standard]]*Tableau1469121518[[#This Row],[Correction_DuréeEffortIntense]])</f>
        <v/>
      </c>
      <c r="K95" s="3">
        <f>IF(K94&lt;($B$3+$B$4)*60,K94+Tableau1469121518[[#This Row],[Durée_Corrigée]],K94)</f>
        <v>4074</v>
      </c>
      <c r="L95" s="3" t="str">
        <f t="shared" ref="L95:L96" si="263">IF(K94&gt;$C$3+$C$4,"",$B$8)</f>
        <v/>
      </c>
      <c r="M95" s="3" t="str">
        <f t="shared" ref="M95:M96" si="264">IF(K94&gt;$C$3+$C$4,"",$B$11)</f>
        <v/>
      </c>
    </row>
    <row r="96" spans="2:13" x14ac:dyDescent="0.25">
      <c r="B96" s="16"/>
      <c r="C96" s="3">
        <v>68</v>
      </c>
      <c r="D96" s="3" t="s">
        <v>7</v>
      </c>
      <c r="E96" s="3" t="str">
        <f>IF(K95&gt;$C$3+$C$4,"",Tableau1469121518[[#This Row],[cumul_temps]]/60)</f>
        <v/>
      </c>
      <c r="F96" s="3" t="str">
        <f t="shared" ref="F96" si="265">IF(K95&gt;$C$3+$C$4,"",60*$B$14)</f>
        <v/>
      </c>
      <c r="H96" s="13"/>
      <c r="I96" s="13"/>
      <c r="J96" s="13"/>
      <c r="K96" s="3">
        <f>IF(K95&lt;($B$3+$B$4)*60,K95+Tableau1469121518[[#This Row],[duree_standard]],K95)</f>
        <v>4074</v>
      </c>
      <c r="L96" s="3" t="str">
        <f t="shared" ref="L96" si="266">IF(K95&gt;$C$3+$C$4,"",$B$7)</f>
        <v/>
      </c>
      <c r="M96" s="3" t="str">
        <f t="shared" ref="M96" si="267">IF(K95&gt;$C$3+$C$4,"",$B$10)</f>
        <v/>
      </c>
    </row>
    <row r="98" spans="2:10" x14ac:dyDescent="0.25">
      <c r="B98" s="14" t="s">
        <v>15</v>
      </c>
      <c r="C98" s="3" t="s">
        <v>0</v>
      </c>
      <c r="D98" s="3" t="s">
        <v>1</v>
      </c>
      <c r="E98" s="3" t="s">
        <v>2</v>
      </c>
      <c r="F98" s="3" t="s">
        <v>3</v>
      </c>
      <c r="G98" s="3" t="s">
        <v>22</v>
      </c>
      <c r="H98" s="3" t="s">
        <v>4</v>
      </c>
      <c r="I98" s="3" t="s">
        <v>5</v>
      </c>
      <c r="J98"/>
    </row>
    <row r="99" spans="2:10" x14ac:dyDescent="0.25">
      <c r="B99" s="15"/>
      <c r="C99" s="3">
        <v>1</v>
      </c>
      <c r="D99" s="3" t="s">
        <v>7</v>
      </c>
      <c r="E99" s="3">
        <f>$K$96/60</f>
        <v>67.900000000000006</v>
      </c>
      <c r="F99" s="3">
        <v>60</v>
      </c>
      <c r="G99" s="3">
        <f>$K$96+Tableau15710131619[[#This Row],[duree_s]]</f>
        <v>4134</v>
      </c>
      <c r="H99" s="3">
        <f t="shared" ref="H99" si="268">$B$7</f>
        <v>7</v>
      </c>
      <c r="I99" s="3">
        <f t="shared" ref="I99" si="269">$B$10</f>
        <v>27</v>
      </c>
      <c r="J99"/>
    </row>
    <row r="100" spans="2:10" x14ac:dyDescent="0.25">
      <c r="B100" s="15"/>
      <c r="C100" s="3">
        <v>2</v>
      </c>
      <c r="D100" s="3" t="s">
        <v>24</v>
      </c>
      <c r="E100" s="3">
        <f>G99/60</f>
        <v>68.900000000000006</v>
      </c>
      <c r="F100" s="3">
        <v>60</v>
      </c>
      <c r="G100" s="3">
        <f>+G99+Tableau15710131619[[#This Row],[duree_s]]</f>
        <v>4194</v>
      </c>
      <c r="H100" s="3">
        <f>ROUND($B$7+($B$8-$B$7)*2/3,0)</f>
        <v>12</v>
      </c>
      <c r="I100" s="3">
        <f>ROUND($B$10+($B$11-$B$10)*2/3,0)</f>
        <v>32</v>
      </c>
      <c r="J100"/>
    </row>
    <row r="101" spans="2:10" x14ac:dyDescent="0.25">
      <c r="B101" s="15"/>
      <c r="C101" s="3">
        <v>3</v>
      </c>
      <c r="D101" s="3" t="s">
        <v>7</v>
      </c>
      <c r="E101" s="3">
        <f t="shared" ref="E101:E105" si="270">G100/60</f>
        <v>69.900000000000006</v>
      </c>
      <c r="F101" s="3">
        <v>60</v>
      </c>
      <c r="G101" s="3">
        <f>+G100+Tableau15710131619[[#This Row],[duree_s]]</f>
        <v>4254</v>
      </c>
      <c r="H101" s="3">
        <f t="shared" ref="H101" si="271">$B$7</f>
        <v>7</v>
      </c>
      <c r="I101" s="3">
        <f t="shared" ref="I101" si="272">$B$10</f>
        <v>27</v>
      </c>
      <c r="J101"/>
    </row>
    <row r="102" spans="2:10" x14ac:dyDescent="0.25">
      <c r="B102" s="15"/>
      <c r="C102" s="3">
        <v>6</v>
      </c>
      <c r="D102" s="3" t="s">
        <v>23</v>
      </c>
      <c r="E102" s="3">
        <f t="shared" si="270"/>
        <v>70.900000000000006</v>
      </c>
      <c r="F102" s="3">
        <v>60</v>
      </c>
      <c r="G102" s="3">
        <f>+G101+Tableau15710131619[[#This Row],[duree_s]]</f>
        <v>4314</v>
      </c>
      <c r="H102" s="3">
        <f>ROUND($B$7+($B$8-$B$7)/3,0)</f>
        <v>9</v>
      </c>
      <c r="I102" s="3">
        <f>ROUND($B$10+($B$11-$B$10)*2/3,0)</f>
        <v>32</v>
      </c>
      <c r="J102"/>
    </row>
    <row r="103" spans="2:10" x14ac:dyDescent="0.25">
      <c r="B103" s="15"/>
      <c r="C103" s="3">
        <v>7</v>
      </c>
      <c r="D103" s="3" t="s">
        <v>7</v>
      </c>
      <c r="E103" s="3">
        <f t="shared" si="270"/>
        <v>71.900000000000006</v>
      </c>
      <c r="F103" s="3">
        <v>60</v>
      </c>
      <c r="G103" s="3">
        <f>+G102+Tableau15710131619[[#This Row],[duree_s]]</f>
        <v>4374</v>
      </c>
      <c r="H103" s="3">
        <f t="shared" ref="H103" si="273">$B$7</f>
        <v>7</v>
      </c>
      <c r="I103" s="3">
        <f t="shared" ref="I103" si="274">$B$10</f>
        <v>27</v>
      </c>
      <c r="J103"/>
    </row>
    <row r="104" spans="2:10" x14ac:dyDescent="0.25">
      <c r="B104" s="15"/>
      <c r="C104" s="3">
        <v>8</v>
      </c>
      <c r="D104" s="3" t="s">
        <v>23</v>
      </c>
      <c r="E104" s="3">
        <f t="shared" si="270"/>
        <v>72.900000000000006</v>
      </c>
      <c r="F104" s="3">
        <v>60</v>
      </c>
      <c r="G104" s="3">
        <f>+G103+Tableau15710131619[[#This Row],[duree_s]]</f>
        <v>4434</v>
      </c>
      <c r="H104" s="3">
        <f>$B$7</f>
        <v>7</v>
      </c>
      <c r="I104" s="3">
        <f>ROUND($B$10+($B$11-$B$10)/3,0)</f>
        <v>30</v>
      </c>
      <c r="J104"/>
    </row>
    <row r="105" spans="2:10" x14ac:dyDescent="0.25">
      <c r="B105" s="16"/>
      <c r="C105" s="3">
        <v>9</v>
      </c>
      <c r="D105" s="3" t="s">
        <v>7</v>
      </c>
      <c r="E105" s="3">
        <f t="shared" si="270"/>
        <v>73.900000000000006</v>
      </c>
      <c r="F105" s="3">
        <f>$D$1*60-G104</f>
        <v>66</v>
      </c>
      <c r="G105" s="3">
        <f>+G104+Tableau15710131619[[#This Row],[duree_s]]</f>
        <v>4500</v>
      </c>
      <c r="H105" s="3">
        <v>2</v>
      </c>
      <c r="I105" s="3">
        <v>22</v>
      </c>
      <c r="J105"/>
    </row>
  </sheetData>
  <mergeCells count="4">
    <mergeCell ref="E11:J11"/>
    <mergeCell ref="B17:B26"/>
    <mergeCell ref="B28:B96"/>
    <mergeCell ref="B98:B105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koraiz_bihan_gbg_45min_v2</vt:lpstr>
      <vt:lpstr>ex 1</vt:lpstr>
      <vt:lpstr>ex 2</vt:lpstr>
      <vt:lpstr>ex 3</vt:lpstr>
      <vt:lpstr>ex 4</vt:lpstr>
      <vt:lpstr>ex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Gilles BRUN GAUTIER</dc:creator>
  <cp:lastModifiedBy>Gilles BRUN GAUTIER</cp:lastModifiedBy>
  <dcterms:created xsi:type="dcterms:W3CDTF">2026-09-17T05:39:16Z</dcterms:created>
  <dcterms:modified xsi:type="dcterms:W3CDTF">2026-09-17T16:22:59Z</dcterms:modified>
</cp:coreProperties>
</file>